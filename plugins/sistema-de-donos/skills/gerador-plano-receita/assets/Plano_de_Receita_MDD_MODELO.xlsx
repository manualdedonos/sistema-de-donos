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1. Plano de Receita" sheetId="2" state="visible" r:id="rId4"/>
    <sheet name="2. Simulador de Meta" sheetId="3" state="visible" r:id="rId5"/>
    <sheet name="3. Projeção 12 meses" sheetId="4" state="visible" r:id="rId6"/>
    <sheet name="4. Acompanhamento" sheetId="5" state="visible" r:id="rId7"/>
    <sheet name="5. Processos e Cadência" sheetId="6" state="visible" r:id="rId8"/>
    <sheet name="Exemplo Serviço B2B" sheetId="7" state="visible" r:id="rId9"/>
    <sheet name="Exemplo Loja Física" sheetId="8" state="visible" r:id="rId10"/>
    <sheet name="Glossári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<sst xmlns="http://schemas.openxmlformats.org/spreadsheetml/2006/main" count="455" uniqueCount="363">
  <si>
    <t xml:space="preserve">PLANO DE RECEITA</t>
  </si>
  <si>
    <t xml:space="preserve">MANUAL DE DONOS · de onde a venda vem, como ela acontece e onde colocar o próximo esforço</t>
  </si>
  <si>
    <t xml:space="preserve">Gestão de receita é conseguir olhar para a receita e saber de onde ela vem, onde mexer e como gerar mais. Enquanto o faturamento for um bolo só, você reage à receita. Quando cada fonte tem nome e número, você opera a receita.</t>
  </si>
  <si>
    <t xml:space="preserve">A PERGUNTA QUE GUIA TUDO:  O QUE precisa ser feito, QUANTAS vezes, COMO e POR QUEM, para vendermos?</t>
  </si>
  <si>
    <t xml:space="preserve">OS 3 NÍVEIS DO PLANO DE RECEITA</t>
  </si>
  <si>
    <t xml:space="preserve">Nível</t>
  </si>
  <si>
    <t xml:space="preserve">Pergunta-chave</t>
  </si>
  <si>
    <t xml:space="preserve">O que você passa a saber</t>
  </si>
  <si>
    <t xml:space="preserve">O que isso destrava</t>
  </si>
  <si>
    <t xml:space="preserve">Onde está na planilha</t>
  </si>
  <si>
    <t xml:space="preserve">NÍVEL 1
Visibilidade</t>
  </si>
  <si>
    <t xml:space="preserve">De onde a venda vem?</t>
  </si>
  <si>
    <t xml:space="preserve">Quanto cada fonte de receita gera.</t>
  </si>
  <si>
    <t xml:space="preserve">Você para de olhar o faturamento como um bolo só e enxerga dinheiros diferentes.</t>
  </si>
  <si>
    <t xml:space="preserve">Aba 1 · colunas Receita e % da receita</t>
  </si>
  <si>
    <t xml:space="preserve">NÍVEL 2
Controle</t>
  </si>
  <si>
    <t xml:space="preserve">Como cada fonte vira venda?</t>
  </si>
  <si>
    <t xml:space="preserve">Quantas entradas viram proposta e quantas propostas viram venda, por fonte.</t>
  </si>
  <si>
    <t xml:space="preserve">Você enxerga o funil de cada fonte e acha o gargalo — o ponto exato onde a venda trava.</t>
  </si>
  <si>
    <t xml:space="preserve">Aba 1 · colunas Entradas, Propostas, Vendas e Conversões</t>
  </si>
  <si>
    <t xml:space="preserve">NÍVEL 3
Decisão</t>
  </si>
  <si>
    <t xml:space="preserve">Onde colocar o próximo esforço?</t>
  </si>
  <si>
    <t xml:space="preserve">Quanto de receita cada entrada gera, fonte por fonte.</t>
  </si>
  <si>
    <t xml:space="preserve">Você descobre que R$ 1 de um canal não vale o mesmo que R$ 1 de outro — e para de investir tempo no lugar errado.</t>
  </si>
  <si>
    <t xml:space="preserve">Aba 1 · coluna Receita por entrada</t>
  </si>
  <si>
    <t xml:space="preserve">COMO USAR ESSA PLANILHA — 6 PASSOS</t>
  </si>
  <si>
    <t xml:space="preserve">1. Nomeie suas fontes</t>
  </si>
  <si>
    <t xml:space="preserve">Na aba «1. Plano de Receita», escreva todas as fontes de receita que JÁ existem hoje. Não invente nenhuma nova ainda.</t>
  </si>
  <si>
    <t xml:space="preserve">2. Preencha o último mês fechado</t>
  </si>
  <si>
    <t xml:space="preserve">Para cada fonte: entradas, propostas, vendas e receita. Se você não mede alguma coisa, escreva sua melhor estimativa e marque para começar a contar. Aprender a contar vem antes de otimizar.</t>
  </si>
  <si>
    <t xml:space="preserve">3. Leia o diagnóstico</t>
  </si>
  <si>
    <t xml:space="preserve">A própria aba 1 aponta sua maior fonte, seu melhor canal por entrada, seu maior gargalo de conversão e onde você gasta esforço sem retorno.</t>
  </si>
  <si>
    <t xml:space="preserve">4. Simule a meta</t>
  </si>
  <si>
    <t xml:space="preserve">Na aba «2. Simulador de Meta», coloque a meta de receita e mexa nas entradas, conversões e ticket. A planilha mostra o gap e quantas entradas faltam no melhor canal para fechá-lo.</t>
  </si>
  <si>
    <t xml:space="preserve">5. Projete o ano</t>
  </si>
  <si>
    <t xml:space="preserve">A aba «3. Projeção 12 meses» transforma o mês simulado em um plano de 12 meses, fonte por fonte.</t>
  </si>
  <si>
    <t xml:space="preserve">6. Transforme em processo e cadência</t>
  </si>
  <si>
    <t xml:space="preserve">Na aba «5. Processos e Cadência», escreva o que precisa ser feito, quantas vezes, como e por quem — e marque o comitê de receita semanal na agenda. Plano sem cadência vira intenção.</t>
  </si>
  <si>
    <t xml:space="preserve">LEGENDA — o que você edita e o que a planilha calcula</t>
  </si>
  <si>
    <t xml:space="preserve">Texto azul, fundo amarelo</t>
  </si>
  <si>
    <t xml:space="preserve">Você preenche. É input seu.</t>
  </si>
  <si>
    <t xml:space="preserve">Texto preto</t>
  </si>
  <si>
    <t xml:space="preserve">Fórmula. Não mexa — a planilha calcula sozinha.</t>
  </si>
  <si>
    <t xml:space="preserve">Texto verde</t>
  </si>
  <si>
    <t xml:space="preserve">Veio de outra aba. Se mudar lá, muda aqui.</t>
  </si>
  <si>
    <t xml:space="preserve">REGRA DE OURO: você não gerencia o resultado, você gerencia as atividades e monitora os indicadores de direção — o resultado é consequência. Crescer é empilhar fontes que funcionam: acertou uma, mantenha; vá buscar a próxima; some forças, não troque apostas.</t>
  </si>
  <si>
    <t xml:space="preserve">Baseado no manual «Processo comercial: manual para destravar as vendas» — Manual de Donos, com Jonathan Souza.</t>
  </si>
  <si>
    <t xml:space="preserve">1. PLANO DE RECEITA — O RETRATO DE HOJE</t>
  </si>
  <si>
    <t xml:space="preserve">Níveis 1, 2 e 3 na mesma tabela: de onde vem, como acontece e quanto vale cada entrada</t>
  </si>
  <si>
    <t xml:space="preserve">Negócio:</t>
  </si>
  <si>
    <t xml:space="preserve">Período de referência:</t>
  </si>
  <si>
    <t xml:space="preserve">Último mês fechado</t>
  </si>
  <si>
    <t xml:space="preserve">Modelo de negócio:</t>
  </si>
  <si>
    <t xml:space="preserve">PREENCHA AS COLUNAS AMARELAS. O RESTO A PLANILHA CALCULA.</t>
  </si>
  <si>
    <t xml:space="preserve">Fonte de receita</t>
  </si>
  <si>
    <t xml:space="preserve">Entradas</t>
  </si>
  <si>
    <t xml:space="preserve">Propostas</t>
  </si>
  <si>
    <t xml:space="preserve">Vendas</t>
  </si>
  <si>
    <t xml:space="preserve">Receita (R$)</t>
  </si>
  <si>
    <t xml:space="preserve">Ticket médio</t>
  </si>
  <si>
    <t xml:space="preserve">Conv. entrada→proposta</t>
  </si>
  <si>
    <t xml:space="preserve">Conv. proposta→venda</t>
  </si>
  <si>
    <t xml:space="preserve">Conv. Entrada→Venda</t>
  </si>
  <si>
    <t xml:space="preserve">Receita por entrada</t>
  </si>
  <si>
    <t xml:space="preserve">% da receita</t>
  </si>
  <si>
    <t xml:space="preserve">Indicação  (exemplo — apague e coloque as suas)</t>
  </si>
  <si>
    <t xml:space="preserve">TOTAL</t>
  </si>
  <si>
    <t xml:space="preserve">LEITURA AUTOMÁTICA DO SEU PLANO — o que esses números já estão te dizendo</t>
  </si>
  <si>
    <t xml:space="preserve">Sua maior fonte de receita</t>
  </si>
  <si>
    <t xml:space="preserve">É de onde o dinheiro vem hoje. Antes de buscar canal novo, garanta que essa fonte não vai cair.</t>
  </si>
  <si>
    <t xml:space="preserve">Sua entrada mais valiosa (maior receita por entrada)</t>
  </si>
  <si>
    <t xml:space="preserve">Se você tem 1 hora para vender, é aqui que ela rende mais. Pergunte-se: como eu gero MAIS entradas nesse canal?</t>
  </si>
  <si>
    <t xml:space="preserve">Sua entrada menos valiosa (menor receita por entrada)</t>
  </si>
  <si>
    <t xml:space="preserve">Não significa abandonar. Significa que aqui o jogo é volume e eficiência — e que uma melhora pequena por entrada vira muito dinheiro.</t>
  </si>
  <si>
    <t xml:space="preserve">Onde você gasta mais esforço (mais entradas)</t>
  </si>
  <si>
    <t xml:space="preserve">Compare com a linha acima: se o maior esforço estiver na entrada menos valiosa, seu time está trabalhando no lugar errado.</t>
  </si>
  <si>
    <t xml:space="preserve">Seu maior gargalo (pior conversão entrada→venda)</t>
  </si>
  <si>
    <t xml:space="preserve">É o ponto do funil onde a venda trava. Arrumar conversão é mais barato do que comprar mais entradas.</t>
  </si>
  <si>
    <t xml:space="preserve">COMO PREENCHER CADA COLUNA</t>
  </si>
  <si>
    <t xml:space="preserve">Dê nome a cada origem de venda: carteira ativa, indicação, prospecção ativa, inbound, eventos, parcerias, canal indireto, fluxo de loja, WhatsApp, marketplace. Cada fonte é, na prática, um dinheiro diferente.</t>
  </si>
  <si>
    <t xml:space="preserve">Todo contato inicial do período: pessoa que entrou na loja, lead que preencheu formulário, orçamento pedido, visita agendada, DM respondida. Se você não sabe, comece contando — engenheiro de tráfego conta carro por carro antes de projetar a rua.</t>
  </si>
  <si>
    <t xml:space="preserve">O meio do caminho: proposta enviada, orçamento passado, atendimento com prova, cliente que pediu preço. Se o seu negócio não tem essa etapa, repita o número de vendas.</t>
  </si>
  <si>
    <t xml:space="preserve">Quantos negócios fecharam no período, vindos daquela fonte.</t>
  </si>
  <si>
    <t xml:space="preserve">Quanto de receita aquela fonte gerou no período. A soma tem que bater com o seu faturamento total.</t>
  </si>
  <si>
    <t xml:space="preserve">2. SIMULADOR DE META</t>
  </si>
  <si>
    <t xml:space="preserve">Mexa nas entradas, na conversão e no ticket. Veja a receita mudar e o gap até a meta fechar.</t>
  </si>
  <si>
    <t xml:space="preserve">META DE RECEITA DO PERÍODO:</t>
  </si>
  <si>
    <t xml:space="preserve">Receita de hoje (aba 1):</t>
  </si>
  <si>
    <t xml:space="preserve">AS LINHAS COMEÇAM IGUAIS AO SEU RETRATO DE HOJE. SOBRESCREVA À VONTADE — É PARA ISSO QUE ELA SERVE.</t>
  </si>
  <si>
    <t xml:space="preserve">Entradas planejadas</t>
  </si>
  <si>
    <t xml:space="preserve">Conv. entrada→venda</t>
  </si>
  <si>
    <t xml:space="preserve">Ticket médio (R$)</t>
  </si>
  <si>
    <t xml:space="preserve">Vendas projetadas</t>
  </si>
  <si>
    <t xml:space="preserve">Receita projetada (R$)</t>
  </si>
  <si>
    <t xml:space="preserve">Receita hoje (R$)</t>
  </si>
  <si>
    <t xml:space="preserve">Variação (R$)</t>
  </si>
  <si>
    <t xml:space="preserve">Variação %</t>
  </si>
  <si>
    <t xml:space="preserve">Canal novo 1  (escreva aqui)</t>
  </si>
  <si>
    <t xml:space="preserve">Canal novo 2  (escreva aqui)</t>
  </si>
  <si>
    <t xml:space="preserve">Canal novo 3  (escreva aqui)</t>
  </si>
  <si>
    <t xml:space="preserve">TOTAL PROJETADO</t>
  </si>
  <si>
    <t xml:space="preserve">RESULTADO DA SIMULAÇÃO</t>
  </si>
  <si>
    <t xml:space="preserve">Receita projetada</t>
  </si>
  <si>
    <t xml:space="preserve">Soma da simulação acima.</t>
  </si>
  <si>
    <t xml:space="preserve">Meta de receita</t>
  </si>
  <si>
    <t xml:space="preserve">O número que você escreveu lá em cima.</t>
  </si>
  <si>
    <t xml:space="preserve">Gap até a meta</t>
  </si>
  <si>
    <t xml:space="preserve">Positivo = ainda falta. Negativo ou zero = a simulação já bate a meta.</t>
  </si>
  <si>
    <t xml:space="preserve">Situação</t>
  </si>
  <si>
    <t xml:space="preserve">Leitura rápida.</t>
  </si>
  <si>
    <t xml:space="preserve">Melhor canal por receita/entrada nessa simulação</t>
  </si>
  <si>
    <t xml:space="preserve">É onde cada entrada nova rende mais.</t>
  </si>
  <si>
    <t xml:space="preserve">Receita por entrada desse canal</t>
  </si>
  <si>
    <t xml:space="preserve">Quanto entra de receita a cada contato inicial gerado nele.</t>
  </si>
  <si>
    <t xml:space="preserve">Entradas adicionais nesse canal para fechar o gap</t>
  </si>
  <si>
    <t xml:space="preserve">Essa é a decisão que o plano gera: quantas entradas a mais, no canal certo, fecham a conta.</t>
  </si>
  <si>
    <t xml:space="preserve">AS 3 ALAVANCAS QUE VOCÊ TEM — e o custo de cada uma</t>
  </si>
  <si>
    <t xml:space="preserve">1. Mais entradas (volume)</t>
  </si>
  <si>
    <t xml:space="preserve">Gerar mais contatos iniciais no canal. É a alavanca mais óbvia e normalmente a mais cara: exige mais anúncio, mais prospecção, mais gente. Só puxe essa depois de olhar as outras duas.</t>
  </si>
  <si>
    <t xml:space="preserve">2. Melhor conversão (funil)</t>
  </si>
  <si>
    <t xml:space="preserve">Transformar em venda o que já chegou. É a alavanca mais barata: a entrada já foi paga. Uma conversão de 16% para 18% no seu maior canal costuma valer mais do que um mês inteiro de anúncio novo.</t>
  </si>
  <si>
    <t xml:space="preserve">3. Ticket maior (valor)</t>
  </si>
  <si>
    <t xml:space="preserve">Vender mais por venda: combo, item adicional, escopo maior, plano anual. Não custa entrada nenhuma — custa processo de oferta. «Você conhece nosso produto mais vendido?» é ticket, não é sorte.</t>
  </si>
  <si>
    <t xml:space="preserve">3. PROJEÇÃO 12 MESES</t>
  </si>
  <si>
    <t xml:space="preserve">O mês simulado virando plano de ano, fonte por fonte. Mês 1 = a simulação da aba 2.</t>
  </si>
  <si>
    <t xml:space="preserve">Crescimento padrão por mês:</t>
  </si>
  <si>
    <t xml:space="preserve">Aplicado a todas as fontes. Você pode sobrescrever fonte a fonte na coluna B — nem todo canal cresce no mesmo ritmo.</t>
  </si>
  <si>
    <t xml:space="preserve">Cresc./mês</t>
  </si>
  <si>
    <t xml:space="preserve">Mês 1</t>
  </si>
  <si>
    <t xml:space="preserve">Mês 2</t>
  </si>
  <si>
    <t xml:space="preserve">Mês 3</t>
  </si>
  <si>
    <t xml:space="preserve">Mês 4</t>
  </si>
  <si>
    <t xml:space="preserve">Mês 5</t>
  </si>
  <si>
    <t xml:space="preserve">Mês 6</t>
  </si>
  <si>
    <t xml:space="preserve">Mês 7</t>
  </si>
  <si>
    <t xml:space="preserve">Mês 8</t>
  </si>
  <si>
    <t xml:space="preserve">Mês 9</t>
  </si>
  <si>
    <t xml:space="preserve">Mês 10</t>
  </si>
  <si>
    <t xml:space="preserve">Mês 11</t>
  </si>
  <si>
    <t xml:space="preserve">Mês 12</t>
  </si>
  <si>
    <t xml:space="preserve">Total 12 meses</t>
  </si>
  <si>
    <t xml:space="preserve">COMO LER ESSA PROJEÇÃO</t>
  </si>
  <si>
    <t xml:space="preserve">•  Renomeie «Mês 1, Mês 2...» para os meses do seu ciclo (Jan, Fev, Mar...). Mês 1 é o mês que você simulou na aba 2.</t>
  </si>
  <si>
    <t xml:space="preserve">•  Crescimento não é fé: é consequência de mais entradas, melhor conversão ou ticket maior. Se você colocou 5% ao mês numa fonte, escreva na aba 5 QUAL atividade vai produzir esses 5%.</t>
  </si>
  <si>
    <t xml:space="preserve">•  Fontes diferentes crescem em ritmos diferentes. Indicação cresce com processo; inbound cresce com investimento; carteira ativa cresce com cadência de contato. Ajuste a coluna B fonte a fonte.</t>
  </si>
  <si>
    <t xml:space="preserve">•  Se a projeção do ano parece impossível, ela está te dizendo algo útil: ou a meta precisa mudar, ou o plano precisa de uma fonte nova — não de mais esforço na mesma.</t>
  </si>
  <si>
    <t xml:space="preserve">4. ACOMPANHAMENTO — META VS. REALIZADO</t>
  </si>
  <si>
    <t xml:space="preserve">O material do comitê de receita semanal/mensal: onde o plano está acontecendo e onde não está</t>
  </si>
  <si>
    <t xml:space="preserve">META POR FONTE (vem da projeção — aba 3)</t>
  </si>
  <si>
    <t xml:space="preserve">REALIZADO POR FONTE (você preenche mês a mês)</t>
  </si>
  <si>
    <t xml:space="preserve">% DA META ATINGIDA (calculado)</t>
  </si>
  <si>
    <t xml:space="preserve">O QUE FAZER COM ESSA ABA</t>
  </si>
  <si>
    <t xml:space="preserve">•  Verde = bateu. Amarelo = chegou perto (90% a 99%). Vermelho = abaixo de 90% e precisa de decisão, não de torcida.</t>
  </si>
  <si>
    <t xml:space="preserve">•  Essa é a tabela do comitê de receita semanal: 30 minutos, meta contra realizado por fonte, indicadores de direção e UMA decisão concreta por semana — o que muda, quem faz, até quando.</t>
  </si>
  <si>
    <t xml:space="preserve">•  Se a atividade aconteceu e o número não se mexeu, o problema não é esforço: é o processo. Reveja o padrão daquela fonte na aba 5.</t>
  </si>
  <si>
    <t xml:space="preserve">•  Cada semana é uma volta do ciclo definir → executar → medir → ajustar. O acumulado dessas voltas é o que gera resultado consistente.</t>
  </si>
  <si>
    <t xml:space="preserve">5. PROCESSOS E CADÊNCIA</t>
  </si>
  <si>
    <t xml:space="preserve">O plano só vira receita quando vira atividade com padrão, responsável e verificação</t>
  </si>
  <si>
    <t xml:space="preserve">Atividade é o que está no seu controle fazer. Fazer uma pessoa entrar na loja não está no seu controle; atendê-la depois que entrou, sim. Uma atividade só vira processo de verdade quando tem 3 coisas: um PADRÃO que qualquer pessoa consegue seguir desde o primeiro dia, um RESPONSÁVEL com nome e sobrenome, e uma FORMA DE VERIFICAR se foi feito.</t>
  </si>
  <si>
    <t xml:space="preserve">«Vou fazer 5 ligações por dia» é controle.  «Vou vender mais» é só visibilidade.</t>
  </si>
  <si>
    <t xml:space="preserve">O QUE PRECISA SER FEITO, QUANTAS VEZES, COMO E POR QUEM — comece pelas suas 2 ou 3 principais fontes</t>
  </si>
  <si>
    <t xml:space="preserve">Atividade-chave</t>
  </si>
  <si>
    <t xml:space="preserve">Padrão (como exatamente é feito)</t>
  </si>
  <si>
    <t xml:space="preserve">Responsável (nome e sobrenome)</t>
  </si>
  <si>
    <t xml:space="preserve">Meta de atividade (quantas vezes)</t>
  </si>
  <si>
    <t xml:space="preserve">Frequência</t>
  </si>
  <si>
    <t xml:space="preserve">Como verificar se aconteceu</t>
  </si>
  <si>
    <t xml:space="preserve">Indicação  (exemplo)</t>
  </si>
  <si>
    <t xml:space="preserve">Pedir indicação ao fim de cada entrega</t>
  </si>
  <si>
    <t xml:space="preserve">No call de encerramento, pedir 2 nomes e o contexto de cada um antes de encerrar a chamada</t>
  </si>
  <si>
    <t xml:space="preserve">Marina Alves</t>
  </si>
  <si>
    <t xml:space="preserve">100% dos projetos encerrados</t>
  </si>
  <si>
    <t xml:space="preserve">A cada entrega</t>
  </si>
  <si>
    <t xml:space="preserve">Campo «indicações pedidas» preenchido no CRM</t>
  </si>
  <si>
    <t xml:space="preserve">Inbound  (exemplo)</t>
  </si>
  <si>
    <t xml:space="preserve">Primeiro atendimento do lead</t>
  </si>
  <si>
    <t xml:space="preserve">Responder todo lead em até 5 minutos, por telefone antes de WhatsApp, com pergunta de contexto antes de preço</t>
  </si>
  <si>
    <t xml:space="preserve">Rafael Lima</t>
  </si>
  <si>
    <t xml:space="preserve">100% dos leads em até 5 min</t>
  </si>
  <si>
    <t xml:space="preserve">Diária</t>
  </si>
  <si>
    <t xml:space="preserve">Relatório de tempo de primeira resposta, revisado toda segunda</t>
  </si>
  <si>
    <t xml:space="preserve">OS 3 RITUAIS QUE SUSTENTAM A OPERAÇÃO — marque na agenda, mesmo que seja só você</t>
  </si>
  <si>
    <t xml:space="preserve">Ritual</t>
  </si>
  <si>
    <t xml:space="preserve">O que olhar</t>
  </si>
  <si>
    <t xml:space="preserve">Formato</t>
  </si>
  <si>
    <t xml:space="preserve">Quem conduz</t>
  </si>
  <si>
    <t xml:space="preserve">Dia e hora na agenda</t>
  </si>
  <si>
    <t xml:space="preserve">Matinal</t>
  </si>
  <si>
    <t xml:space="preserve">Diária · 15 min</t>
  </si>
  <si>
    <t xml:space="preserve">Prioridades do dia, travamentos, próximos passos</t>
  </si>
  <si>
    <t xml:space="preserve">Em pé, sem pauta longa</t>
  </si>
  <si>
    <t xml:space="preserve">Comitê de receita</t>
  </si>
  <si>
    <t xml:space="preserve">Semanal · 30 min</t>
  </si>
  <si>
    <t xml:space="preserve">Meta vs. realizado por fonte (aba 4), indicadores de direção, ações</t>
  </si>
  <si>
    <t xml:space="preserve">Tabela na tela + UMA decisão concreta</t>
  </si>
  <si>
    <t xml:space="preserve">Planejamento</t>
  </si>
  <si>
    <t xml:space="preserve">Mensal · 1 a 2h</t>
  </si>
  <si>
    <t xml:space="preserve">Ajustes no plano, capacidade do time, novas iniciativas</t>
  </si>
  <si>
    <t xml:space="preserve">Revisão do sistema completo (abas 1 a 3)</t>
  </si>
  <si>
    <t xml:space="preserve">SE VOCÊ FIZER SÓ ISSO, JÁ PAGOU O MÊS</t>
  </si>
  <si>
    <t xml:space="preserve">Escreva, para as suas 3 principais fontes de receita, o que precisa ser feito, quantas vezes, como e por quem. Depois marque o comitê de receita semanal na agenda — mesmo que seja só você — e analise que atividades você pode fazer mais e melhor para vender mais.</t>
  </si>
  <si>
    <t xml:space="preserve">AS 7 PERGUNTAS PARA INVESTIGAR A SUA VENDA</t>
  </si>
  <si>
    <t xml:space="preserve">1.  Quais são as fontes de receita do meu negócio hoje? Eu tenho nome para cada uma delas?</t>
  </si>
  <si>
    <t xml:space="preserve">2.  Qual é a receita por entrada de cada fonte? Eu sei qual vale mais o meu tempo?</t>
  </si>
  <si>
    <t xml:space="preserve">3.  Para as atividades mais críticas de vender: existe padrão, responsável e forma de verificar?</t>
  </si>
  <si>
    <t xml:space="preserve">4.  Eu tenho rituais de vendas na agenda — matinal, comitê de receita semanal e planejamento mensal?</t>
  </si>
  <si>
    <t xml:space="preserve">5.  Qual foi a última vez que eu mesmo atendi ou ajudei a fechar um cliente?</t>
  </si>
  <si>
    <t xml:space="preserve">6.  Quantas vezes eu ofereci o meu produto ou serviço hoje?</t>
  </si>
  <si>
    <t xml:space="preserve">7.  Como eu ofereço meu produto ou serviço para 10, 20 ou 30 pessoas a mais essa semana?</t>
  </si>
  <si>
    <t xml:space="preserve">EXEMPLO 1 · SERVIÇO B2B — ATIVA CONSULTORIA</t>
  </si>
  <si>
    <t xml:space="preserve">Consultoria de gestão financeira para PMEs · projetos de R$ 12 mil a R$ 25 mil · time de 9 pessoas</t>
  </si>
  <si>
    <t xml:space="preserve">O NEGÓCIO</t>
  </si>
  <si>
    <t xml:space="preserve">A Ativa vende projetos de estruturação financeira para empresas de R$ 5 a R$ 50 milhões de faturamento. Fatura cerca de R$ 357 mil por mês e cresce, mas o sócio não sabe explicar de onde vem o crescimento — nos meses bons ele diz «foi um mês bom».</t>
  </si>
  <si>
    <t xml:space="preserve">O time comercial tem 1 sócio vendendo, 1 executivo de contas e 1 SDR fazendo prospecção ativa. A sensação do sócio, antes do plano: «prospecção ativa é o motor da empresa, é onde a gente mais trabalha». Os números abaixo mostram outra coisa.</t>
  </si>
  <si>
    <t xml:space="preserve">Período do plano: um mês fechado. Entrada = qualquer contato inicial (formulário do site, resposta de e-mail frio, indicação recebida, contato em evento). Proposta = documento comercial enviado com escopo e preço.</t>
  </si>
  <si>
    <t xml:space="preserve">O PLANO DE RECEITA — NÍVEIS 1, 2 E 3</t>
  </si>
  <si>
    <t xml:space="preserve">Entradas (leads)</t>
  </si>
  <si>
    <t xml:space="preserve">Conv. entrada→propostas</t>
  </si>
  <si>
    <t xml:space="preserve">Conv. →venda</t>
  </si>
  <si>
    <t xml:space="preserve">Inbound (site, Google, conteúdo)</t>
  </si>
  <si>
    <t xml:space="preserve">Indicação de clientes</t>
  </si>
  <si>
    <t xml:space="preserve">Prospecção ativa (SDR)</t>
  </si>
  <si>
    <t xml:space="preserve">Carteira ativa (expansão de escopo)</t>
  </si>
  <si>
    <t xml:space="preserve">Parcerias (contadores e bancos)</t>
  </si>
  <si>
    <t xml:space="preserve">Eventos e palestras</t>
  </si>
  <si>
    <t xml:space="preserve">COMO LER ESSE PLANO — o que esses números estão dizendo</t>
  </si>
  <si>
    <t xml:space="preserve">1. Nível 1 · A maior fonte não é a que parece</t>
  </si>
  <si>
    <t xml:space="preserve">Indicação gera R$ 100 mil por mês — a maior fatia da receita (28%) — com apenas 8 entradas. Prospecção ativa, onde o time gasta a maior parte do dia, gera R$ 44 mil (12%). O sócio achava que o motor era a prospecção porque é onde há mais movimento, não mais dinheiro. Movimento não é receita.</t>
  </si>
  <si>
    <t xml:space="preserve">2. Nível 2 · O gargalo do inbound está no meio do funil</t>
  </si>
  <si>
    <t xml:space="preserve">O inbound recebe 110 entradas e transforma só 22 em proposta (20%). São 88 pessoas por mês que levantaram a mão e nunca receberam um preço. Não é problema de geração de lead — é problema de atendimento. Comprar mais lead antes de arrumar isso é jogar dinheiro em um funil furado.</t>
  </si>
  <si>
    <t xml:space="preserve">3. Nível 2 · A prospecção não está errada, está mal calibrada</t>
  </si>
  <si>
    <t xml:space="preserve">140 entradas viram 14 propostas e 2 vendas: 1,4% de conversão entrada→venda, a pior do plano. O problema não é o SDR trabalhar pouco — é a lista e a abordagem. Antes de contratar o segundo SDR, o dono precisa arrumar quem esse SDR aborda e com qual frase.</t>
  </si>
  <si>
    <t xml:space="preserve">4. Nível 3 · Uma indicação vale 40 prospecções</t>
  </si>
  <si>
    <t xml:space="preserve">Cada entrada de indicação gera R$ 12.500 de receita. Cada entrada de prospecção ativa gera R$ 314. É 40 vezes mais. Se o sócio tem 1 hora livre para vender, ela rende 40x mais pedindo indicação do que fazendo ligação fria. Esse é o número que muda a agenda do dono.</t>
  </si>
  <si>
    <t xml:space="preserve">5. Nível 3 · Inbound é volume, indicação é valor — e cada um pede uma ação diferente</t>
  </si>
  <si>
    <t xml:space="preserve">Inbound tem R$ 818 por entrada e 110 entradas. Melhorar R$ 100 na receita por entrada do inbound vale R$ 11 mil por mês, sem nenhuma entrada nova. Indicação tem poucas entradas e valor altíssimo: aqui o jogo é gerar mais entradas, não otimizar. Canal de volume se otimiza; canal de valor se multiplica.</t>
  </si>
  <si>
    <t xml:space="preserve">6. O ponto cego</t>
  </si>
  <si>
    <t xml:space="preserve">Indicação é a maior fonte de receita da empresa e é a única sem nenhum processo: acontece quando o cliente lembra. Uma fonte de R$ 100 mil por mês rodando por sorte é o maior risco do negócio — e, ao mesmo tempo, a maior oportunidade.</t>
  </si>
  <si>
    <t xml:space="preserve">A DECISÃO QUE ESSE PLANO GERA</t>
  </si>
  <si>
    <t xml:space="preserve">→  Transformar indicação em processo, não em sorte: pedir 2 nomes no call de encerramento de todo projeto, com responsável, meta (100% das entregas) e verificação no CRM. Meta: sair de 8 para 16 entradas por mês.</t>
  </si>
  <si>
    <t xml:space="preserve">→  Arrumar o meio do funil do inbound antes de comprar mais tráfego: responder todo lead em até 5 minutos e subir a conversão entrada→proposta de 20% para 35%.</t>
  </si>
  <si>
    <t xml:space="preserve">→  Congelar a expansão da prospecção ativa por 60 dias. Não cortar — recalibrar lista e abordagem, e só voltar a escalar quando a conversão entrada→venda passar de 1,4% para 3%.</t>
  </si>
  <si>
    <t xml:space="preserve">→  Manter tudo que já funciona. Crescer é empilhar fontes que funcionam, não trocar a aposta: a carteira ativa continua com a mesma cadência de contato.</t>
  </si>
  <si>
    <t xml:space="preserve">SIMULAÇÃO — o que acontece se o dono puxar as alavancas certas</t>
  </si>
  <si>
    <t xml:space="preserve">Movimento</t>
  </si>
  <si>
    <t xml:space="preserve">Alavanca</t>
  </si>
  <si>
    <t xml:space="preserve">Hoje</t>
  </si>
  <si>
    <t xml:space="preserve">Depois do movimento</t>
  </si>
  <si>
    <t xml:space="preserve">Impacto na receita (R$/mês)</t>
  </si>
  <si>
    <t xml:space="preserve">Custo do movimento e observação</t>
  </si>
  <si>
    <t xml:space="preserve">Dobrar as indicações</t>
  </si>
  <si>
    <t xml:space="preserve">Mais entradas</t>
  </si>
  <si>
    <t xml:space="preserve">8 entradas/mês</t>
  </si>
  <si>
    <t xml:space="preserve">16 entradas/mês</t>
  </si>
  <si>
    <t xml:space="preserve">Custo: R$ 0. Só um processo no encerramento de projeto. É a receita mais barata do plano inteiro.</t>
  </si>
  <si>
    <t xml:space="preserve">Arrumar o funil do inbound</t>
  </si>
  <si>
    <t xml:space="preserve">Melhor conversão</t>
  </si>
  <si>
    <t xml:space="preserve">20% entrada→proposta</t>
  </si>
  <si>
    <t xml:space="preserve">35% entrada→proposta</t>
  </si>
  <si>
    <t xml:space="preserve">Custo: uma regra de resposta em 5 minutos. As 110 entradas já foram pagas — só estavam sendo desperdiçadas.</t>
  </si>
  <si>
    <t xml:space="preserve">Recalibrar a prospecção ativa</t>
  </si>
  <si>
    <t xml:space="preserve">1,4% entrada→venda</t>
  </si>
  <si>
    <t xml:space="preserve">3,0% entrada→venda</t>
  </si>
  <si>
    <t xml:space="preserve">Custo: tempo de revisão de lista e script. Sem contratar o segundo SDR.</t>
  </si>
  <si>
    <t xml:space="preserve">GANHO TOTAL DO MÊS</t>
  </si>
  <si>
    <t xml:space="preserve">De R$ 357 mil para R$ 573 mil por mês sem contratar ninguém e sem aumentar o investimento em mídia.</t>
  </si>
  <si>
    <t xml:space="preserve">A LIÇÃO DESSE EXEMPLO</t>
  </si>
  <si>
    <t xml:space="preserve">O plano de receita não inventou nenhum canal novo. Ele só deu nome ao que já existia — e mostrou que a empresa estava colocando o maior esforço (prospecção) na entrada que vale 40 vezes menos, enquanto a fonte mais rentável (indicação) rodava sem processo, sem dono e sem meta. É isso que fazer gestão de receita significa: saber de onde o dinheiro vem, olhar cada fonte separadamente e montar um plano específico para cada uma.</t>
  </si>
  <si>
    <t xml:space="preserve">EXEMPLO 2 · VAREJO — LOJA ORIGEM</t>
  </si>
  <si>
    <t xml:space="preserve">Loja de moda masculina de rua · 1 unidade · 4 vendedores · faturamento de R$ 142 mil/mês</t>
  </si>
  <si>
    <t xml:space="preserve">A Origem é uma loja de rua com boa localização, 4 vendedores e 9 anos de estrada. O dono acompanha faturamento e ticket médio, mas nunca separou a receita por origem — para ele, «venda é venda». Quando o mês cai, a explicação é sempre a mesma: «o movimento da rua caiu».</t>
  </si>
  <si>
    <t xml:space="preserve">Ao separar as fontes, ele descobriu que só metade da receita depende do movimento da rua — e que a metade que ele controla é justamente a que ninguém cuida.</t>
  </si>
  <si>
    <t xml:space="preserve">Período do plano: um mês fechado. Entrada = pessoa que entra na loja, conversa iniciada no WhatsApp, clique no anúncio, visita ao e-commerce ou contato de empresa. Atendimento = cliente que experimentou peça, pediu orçamento ou colocou item no carrinho. No varejo, «proposta» vira «atendimento» — o nome muda, a lógica é a mesma.</t>
  </si>
  <si>
    <t xml:space="preserve">Entradas (fluxo)</t>
  </si>
  <si>
    <t xml:space="preserve">Atendimentos</t>
  </si>
  <si>
    <t xml:space="preserve">Conv. entrada→atendimentos</t>
  </si>
  <si>
    <t xml:space="preserve">Fluxo de rua (quem passa e entra)</t>
  </si>
  <si>
    <t xml:space="preserve">Base de clientes no WhatsApp</t>
  </si>
  <si>
    <t xml:space="preserve">Instagram e anúncio local</t>
  </si>
  <si>
    <t xml:space="preserve">Indicação de cliente</t>
  </si>
  <si>
    <t xml:space="preserve">Empresas e uniformes (B2B)</t>
  </si>
  <si>
    <t xml:space="preserve">E-commerce e marketplace</t>
  </si>
  <si>
    <t xml:space="preserve">1. Nível 1 · «Movimento caiu» explica metade do negócio, não o negócio inteiro</t>
  </si>
  <si>
    <t xml:space="preserve">O fluxo de rua responde por R$ 71,7 mil (50% da receita). A outra metade — WhatsApp da base, indicação, B2B, e-commerce — não depende de quem passa na calçada. Enquanto tudo era «venda é venda», o dono culpava a rua por um resultado que ele controlava em 50%.</t>
  </si>
  <si>
    <t xml:space="preserve">2. Nível 2 · A conversão da loja é o ativo mais valioso e o menos gerenciado</t>
  </si>
  <si>
    <t xml:space="preserve">De 1.400 pessoas que entram, 560 são atendidas de verdade (40%) e 224 compram (16% do fluxo total). Ou seja: 840 pessoas por mês entram na loja e saem sem serem atendidas. Cada ponto percentual de conversão do fluxo vale cerca de R$ 4,5 mil por mês — sem gastar R$ 1 a mais de anúncio.</t>
  </si>
  <si>
    <t xml:space="preserve">3. Nível 3 · Uma entrada B2B vale 20 fluxos de rua</t>
  </si>
  <si>
    <t xml:space="preserve">Cada contato de empresa gera R$ 1.050 de receita. Cada pessoa que entra na loja gera R$ 51. É 20 vezes mais. E o canal B2B teve 12 entradas no mês — todas passivas, ninguém foi atrás de nenhuma. É o canal mais rentável da loja rodando no automático.</t>
  </si>
  <si>
    <t xml:space="preserve">4. Nível 3 · A base no WhatsApp é a alavanca mais barata que existe</t>
  </si>
  <si>
    <t xml:space="preserve">R$ 135 por entrada, ticket de R$ 450 (40% acima do fluxo de rua) e conversão de 30% — o dobro da loja. Faz sentido: é gente que já comprou e já confia. E essa lista já está no celular dos vendedores, sem custo de aquisição nenhum.</t>
  </si>
  <si>
    <t xml:space="preserve">5. Nível 3 · O e-commerce está consumindo esforço e devolvendo centavos</t>
  </si>
  <si>
    <t xml:space="preserve">900 visitas geram R$ 6,4 mil e R$ 7,09 por entrada — o pior do plano, com 2,4% de conversão. Isso não significa fechar. Significa parar de tratá-lo como aposta de crescimento enquanto a conversão não sair do lugar, e não colocar mais verba de mídia ali antes de arrumar o funil.</t>
  </si>
  <si>
    <t xml:space="preserve">O dono estava prestes a contratar uma agência para «trazer mais gente para a loja». O plano mostrou que trazer mais gente é a alavanca mais cara — e que ele tinha 840 pessoas por mês entrando sem atendimento, uma lista de clientes parada e um canal B2B 20 vezes mais rentável sem dono.</t>
  </si>
  <si>
    <t xml:space="preserve">→  Definir processo de atendimento com padrão verificável: abordar em até 2 minutos, a 3 metros da porta, com pergunta de contexto («é a primeira vez aqui?») e oferta do produto-âncora em todo atendimento. Meta: subir a conversão do fluxo de 16% para 18%.</t>
  </si>
  <si>
    <t xml:space="preserve">→  Dar dono ao canal B2B: um vendedor responsável por 20 contatos ativos por mês com empresas do bairro (escritórios, clínicas, concessionárias) — o canal mais rentável não pode continuar passivo.</t>
  </si>
  <si>
    <t xml:space="preserve">→  Criar cadência de WhatsApp ativo: cada vendedor faz 15 conversas por dia com a base, com motivo real (peça nova do tamanho dele, aniversário, item que combina com a última compra). Meta: de 260 para 400 entradas por mês.</t>
  </si>
  <si>
    <t xml:space="preserve">→  Segurar a verba nova de anúncio até a conversão da loja subir. Não faz sentido pagar para trazer gente que ninguém vai atender.</t>
  </si>
  <si>
    <t xml:space="preserve">Processo de atendimento na loja</t>
  </si>
  <si>
    <t xml:space="preserve">16% do fluxo compra</t>
  </si>
  <si>
    <t xml:space="preserve">18% do fluxo compra</t>
  </si>
  <si>
    <t xml:space="preserve">Custo: treino de 1 hora e cobrança diária na matinal. As 1.400 entradas já estavam lá.</t>
  </si>
  <si>
    <t xml:space="preserve">Dar dono ao canal B2B</t>
  </si>
  <si>
    <t xml:space="preserve">12 contatos/mês</t>
  </si>
  <si>
    <t xml:space="preserve">24 contatos/mês</t>
  </si>
  <si>
    <t xml:space="preserve">Custo: R$ 0 de mídia. Um vendedor com meta de 20 contatos ativos por mês.</t>
  </si>
  <si>
    <t xml:space="preserve">Cadência de WhatsApp com a base</t>
  </si>
  <si>
    <t xml:space="preserve">260 conversas/mês</t>
  </si>
  <si>
    <t xml:space="preserve">400 conversas/mês</t>
  </si>
  <si>
    <t xml:space="preserve">Custo: R$ 0. A lista já existe. É a receita que estava dormindo no celular do time.</t>
  </si>
  <si>
    <t xml:space="preserve">Peça adicional no fechamento</t>
  </si>
  <si>
    <t xml:space="preserve">Ticket maior</t>
  </si>
  <si>
    <t xml:space="preserve">Ticket de R$ 320</t>
  </si>
  <si>
    <t xml:space="preserve">Ticket de R$ 350</t>
  </si>
  <si>
    <t xml:space="preserve">Custo: uma pergunta padrão no caixa. Vale para as 224 vendas do fluxo de rua.</t>
  </si>
  <si>
    <t xml:space="preserve">De R$ 142 mil para R$ 189 mil por mês — 33% a mais — sem um real a mais de anúncio e sem contratar ninguém.</t>
  </si>
  <si>
    <t xml:space="preserve">No varejo, a tentação é sempre resolver venda com movimento: mais anúncio, mais gente na porta, mais promoção. O plano de receita mostra que as alavancas mais baratas quase sempre estão dentro de casa — na conversão de quem já entrou, na base que já comprou e no canal rentável que ninguém está olhando. Não existe mês ruim quando você sabe de onde a venda vem: existe alavanca que ninguém puxou.</t>
  </si>
  <si>
    <t xml:space="preserve">GLOSSÁRIO E MÉTODO</t>
  </si>
  <si>
    <t xml:space="preserve">Os termos do plano de receita, em português de dono</t>
  </si>
  <si>
    <t xml:space="preserve">OS TERMOS</t>
  </si>
  <si>
    <t xml:space="preserve">Termo</t>
  </si>
  <si>
    <t xml:space="preserve">O que é</t>
  </si>
  <si>
    <t xml:space="preserve">Exemplo no seu negócio</t>
  </si>
  <si>
    <t xml:space="preserve">A origem da venda. Cada fonte é, na prática, um dinheiro diferente: exige esforço diferente, converte diferente e vale diferente.</t>
  </si>
  <si>
    <t xml:space="preserve">Carteira ativa, indicação, prospecção ativa, inbound, eventos, parcerias, canal indireto, fluxo de loja, WhatsApp, marketplace.</t>
  </si>
  <si>
    <t xml:space="preserve">Entrada</t>
  </si>
  <si>
    <t xml:space="preserve">Todo contato inicial, seja qual for o formato. É o termo genérico que serve para qualquer negócio.</t>
  </si>
  <si>
    <t xml:space="preserve">Pessoa que entra na loja · lead que preenche formulário · orçamento pedido · visita agendada · DM respondida · ligação atendida.</t>
  </si>
  <si>
    <t xml:space="preserve">Proposta</t>
  </si>
  <si>
    <t xml:space="preserve">O meio do caminho entre a entrada e a venda. Se o seu negócio não tem essa etapa, adapte o nome — o que importa é medir o meio do funil.</t>
  </si>
  <si>
    <t xml:space="preserve">Proposta enviada · orçamento passado · cliente que experimentou a peça · degustação · aula experimental · carrinho montado.</t>
  </si>
  <si>
    <t xml:space="preserve">Venda</t>
  </si>
  <si>
    <t xml:space="preserve">O negócio fechado, atribuído à fonte que o originou.</t>
  </si>
  <si>
    <t xml:space="preserve">Contrato assinado · cupom emitido · pedido faturado.</t>
  </si>
  <si>
    <t xml:space="preserve">Conversão</t>
  </si>
  <si>
    <t xml:space="preserve">Quanto de uma etapa passa para a próxima. É o indicador de direção que mostra onde a venda trava.</t>
  </si>
  <si>
    <t xml:space="preserve">100 entradas → 20 propostas = 20% de conversão entrada→proposta.</t>
  </si>
  <si>
    <t xml:space="preserve">Receita dividida por vendas. Quanto vale, em média, cada negócio fechado naquela fonte.</t>
  </si>
  <si>
    <t xml:space="preserve">R$ 90.000 de receita ÷ 5 vendas = R$ 18.000 de ticket médio.</t>
  </si>
  <si>
    <t xml:space="preserve">Receita da fonte dividida pelas entradas da fonte. É o indicador do nível 3 — o que quase ninguém calcula e o que muda a decisão.</t>
  </si>
  <si>
    <t xml:space="preserve">R$ 100.000 ÷ 8 indicações = R$ 12.500 por entrada. Contra R$ 314 da prospecção ativa.</t>
  </si>
  <si>
    <t xml:space="preserve">Indicador de direção</t>
  </si>
  <si>
    <t xml:space="preserve">O número que você monitora antes do resultado aparecer: conversão, receita por entrada, cobertura, ciclo.</t>
  </si>
  <si>
    <t xml:space="preserve">Se as atividades acontecem e os indicadores de direção não se movem, o processo precisa ser revisto.</t>
  </si>
  <si>
    <t xml:space="preserve">Atividade</t>
  </si>
  <si>
    <t xml:space="preserve">Tudo o que está no seu controle fazer. Fazer alguém entrar na loja não está; atendê-la depois que entrou, sim.</t>
  </si>
  <si>
    <t xml:space="preserve">10 ligações por dia · responder em 5 minutos · pedir 2 indicações por entrega.</t>
  </si>
  <si>
    <t xml:space="preserve">Processo</t>
  </si>
  <si>
    <t xml:space="preserve">Atividade com padrão, responsável e forma de verificar. Sem os 3, é intenção — e intenção não se ensina, não se mede e não se cobra.</t>
  </si>
  <si>
    <t xml:space="preserve">«Atender bem» é intenção. «Receber a 3 metros da porta em até 2 minutos e perguntar o que trouxe a pessoa» é processo.</t>
  </si>
  <si>
    <t xml:space="preserve">OS 3 ESTÁGIOS DE VENDAS — em qual você está?</t>
  </si>
  <si>
    <t xml:space="preserve">Estágio</t>
  </si>
  <si>
    <t xml:space="preserve">A pergunta que você faz</t>
  </si>
  <si>
    <t xml:space="preserve">O que define</t>
  </si>
  <si>
    <t xml:space="preserve">01 · Reativo</t>
  </si>
  <si>
    <t xml:space="preserve">Quanto você está vendendo?</t>
  </si>
  <si>
    <t xml:space="preserve">Sem plano, sem processos, sem cadência. O resultado depende do esforço individual e da rede de contatos do dono. Funciona, mas é frágil.</t>
  </si>
  <si>
    <t xml:space="preserve">02 · Estruturado</t>
  </si>
  <si>
    <t xml:space="preserve">Quanto você quer vender?</t>
  </si>
  <si>
    <t xml:space="preserve">Plano por fonte de receita, processos-chave definidos, cadência semanal de reunião e diagnóstico individual do time.</t>
  </si>
  <si>
    <t xml:space="preserve">03 · Escalável</t>
  </si>
  <si>
    <t xml:space="preserve">Quais as principais ações para replicar as vendas de diferentes origens?</t>
  </si>
  <si>
    <t xml:space="preserve">Análise por canal, remuneração atrelada ao plano, playbooks por perfil e sistema integrado. A empresa opera vários silos de receita ao mesmo tempo.</t>
  </si>
  <si>
    <t xml:space="preserve">Um mesmo negócio pode estar em estágios diferentes em cada frente: a loja física madura e o digital ainda engatinhando. Reconhecer em que fase você está, em cada frente, é o primeiro passo.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</si>
</sst>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&quot;R$ &quot;#,##0"/>
    <numFmt numFmtId="167" formatCode="0.0%"/>
    <numFmt numFmtId="168" formatCode="&quot;R$ &quot;#,##0.00"/>
    <numFmt numFmtId="169" formatCode="#,##0.0"/>
    <numFmt numFmtId="170" formatCode="&quot;R$ &quot;#,##0;&quot;-R$ &quot;#,##0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2"/>
      <color rgb="FFFF45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4500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0"/>
      <color rgb="FFFF45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i val="true"/>
      <sz val="10"/>
      <color rgb="FF8A8880"/>
      <name val="Arial"/>
      <family val="0"/>
      <charset val="1"/>
    </font>
    <font>
      <b val="true"/>
      <sz val="9"/>
      <color rgb="FF111111"/>
      <name val="Arial"/>
      <family val="0"/>
      <charset val="1"/>
    </font>
    <font>
      <i val="true"/>
      <sz val="9"/>
      <color rgb="FF111111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1"/>
      <color rgb="FFFF4500"/>
      <name val="Arial"/>
      <family val="0"/>
      <charset val="1"/>
    </font>
    <font>
      <i val="true"/>
      <sz val="9"/>
      <color rgb="FF8A8880"/>
      <name val="Arial"/>
      <family val="0"/>
      <charset val="1"/>
    </font>
    <font>
      <i val="true"/>
      <sz val="10"/>
      <color rgb="FF1111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4500"/>
        <bgColor rgb="FFFF0000"/>
      </patternFill>
    </fill>
    <fill>
      <patternFill patternType="solid">
        <fgColor rgb="FFF7F5F0"/>
        <bgColor rgb="FFFFFFFF"/>
      </patternFill>
    </fill>
    <fill>
      <patternFill patternType="solid">
        <fgColor rgb="FFFFF2CC"/>
        <bgColor rgb="FFF7F5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FBFBF"/>
      <rgbColor rgb="FF8A8880"/>
      <rgbColor rgb="FF9999FF"/>
      <rgbColor rgb="FF993366"/>
      <rgbColor rgb="FFFFF2CC"/>
      <rgbColor rgb="FFF7F5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4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30" hidden="false" customHeight="true" outlineLevel="0" collapsed="false">
      <c r="A6" s="4" t="s">
        <v>3</v>
      </c>
      <c r="B6" s="4"/>
      <c r="C6" s="4"/>
      <c r="D6" s="4"/>
      <c r="E6" s="4"/>
      <c r="F6" s="4"/>
    </row>
    <row r="8" customFormat="false" ht="21.75" hidden="false" customHeight="true" outlineLevel="0" collapsed="false">
      <c r="A8" s="5" t="s">
        <v>4</v>
      </c>
      <c r="B8" s="5"/>
      <c r="C8" s="5"/>
      <c r="D8" s="5"/>
      <c r="E8" s="5"/>
      <c r="F8" s="5"/>
    </row>
    <row r="9" customFormat="false" ht="31.5" hidden="false" customHeight="true" outlineLevel="0" collapsed="false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</row>
    <row r="10" customFormat="false" ht="51.75" hidden="false" customHeight="true" outlineLevel="0" collapsed="false">
      <c r="A10" s="7" t="s">
        <v>10</v>
      </c>
      <c r="B10" s="8" t="s">
        <v>11</v>
      </c>
      <c r="C10" s="8" t="s">
        <v>12</v>
      </c>
      <c r="D10" s="8" t="s">
        <v>13</v>
      </c>
      <c r="E10" s="8" t="s">
        <v>14</v>
      </c>
    </row>
    <row r="11" customFormat="false" ht="51.75" hidden="false" customHeight="true" outlineLevel="0" collapsed="false">
      <c r="A11" s="7" t="s">
        <v>15</v>
      </c>
      <c r="B11" s="8" t="s">
        <v>16</v>
      </c>
      <c r="C11" s="8" t="s">
        <v>17</v>
      </c>
      <c r="D11" s="8" t="s">
        <v>18</v>
      </c>
      <c r="E11" s="8" t="s">
        <v>19</v>
      </c>
    </row>
    <row r="12" customFormat="false" ht="51.75" hidden="false" customHeight="true" outlineLevel="0" collapsed="false">
      <c r="A12" s="7" t="s">
        <v>20</v>
      </c>
      <c r="B12" s="8" t="s">
        <v>21</v>
      </c>
      <c r="C12" s="8" t="s">
        <v>22</v>
      </c>
      <c r="D12" s="8" t="s">
        <v>23</v>
      </c>
      <c r="E12" s="8" t="s">
        <v>24</v>
      </c>
    </row>
    <row r="14" customFormat="false" ht="21.75" hidden="false" customHeight="true" outlineLevel="0" collapsed="false">
      <c r="A14" s="5" t="s">
        <v>25</v>
      </c>
      <c r="B14" s="5"/>
      <c r="C14" s="5"/>
      <c r="D14" s="5"/>
      <c r="E14" s="5"/>
      <c r="F14" s="5"/>
    </row>
    <row r="15" customFormat="false" ht="27.75" hidden="false" customHeight="true" outlineLevel="0" collapsed="false">
      <c r="A15" s="9" t="s">
        <v>26</v>
      </c>
      <c r="B15" s="3" t="s">
        <v>27</v>
      </c>
      <c r="C15" s="3"/>
      <c r="D15" s="3"/>
      <c r="E15" s="3"/>
      <c r="F15" s="3"/>
    </row>
    <row r="16" customFormat="false" ht="27.75" hidden="false" customHeight="true" outlineLevel="0" collapsed="false">
      <c r="A16" s="9" t="s">
        <v>28</v>
      </c>
      <c r="B16" s="3" t="s">
        <v>29</v>
      </c>
      <c r="C16" s="3"/>
      <c r="D16" s="3"/>
      <c r="E16" s="3"/>
      <c r="F16" s="3"/>
    </row>
    <row r="17" customFormat="false" ht="27.75" hidden="false" customHeight="true" outlineLevel="0" collapsed="false">
      <c r="A17" s="9" t="s">
        <v>30</v>
      </c>
      <c r="B17" s="3" t="s">
        <v>31</v>
      </c>
      <c r="C17" s="3"/>
      <c r="D17" s="3"/>
      <c r="E17" s="3"/>
      <c r="F17" s="3"/>
    </row>
    <row r="18" customFormat="false" ht="27.75" hidden="false" customHeight="true" outlineLevel="0" collapsed="false">
      <c r="A18" s="9" t="s">
        <v>32</v>
      </c>
      <c r="B18" s="3" t="s">
        <v>33</v>
      </c>
      <c r="C18" s="3"/>
      <c r="D18" s="3"/>
      <c r="E18" s="3"/>
      <c r="F18" s="3"/>
    </row>
    <row r="19" customFormat="false" ht="15.75" hidden="false" customHeight="true" outlineLevel="0" collapsed="false">
      <c r="A19" s="9" t="s">
        <v>34</v>
      </c>
      <c r="B19" s="3" t="s">
        <v>35</v>
      </c>
      <c r="C19" s="3"/>
      <c r="D19" s="3"/>
      <c r="E19" s="3"/>
      <c r="F19" s="3"/>
    </row>
    <row r="20" customFormat="false" ht="27.75" hidden="false" customHeight="true" outlineLevel="0" collapsed="false">
      <c r="A20" s="9" t="s">
        <v>36</v>
      </c>
      <c r="B20" s="3" t="s">
        <v>37</v>
      </c>
      <c r="C20" s="3"/>
      <c r="D20" s="3"/>
      <c r="E20" s="3"/>
      <c r="F20" s="3"/>
    </row>
    <row r="22" customFormat="false" ht="21.75" hidden="false" customHeight="true" outlineLevel="0" collapsed="false">
      <c r="A22" s="10" t="s">
        <v>38</v>
      </c>
      <c r="B22" s="10"/>
      <c r="C22" s="10"/>
      <c r="D22" s="10"/>
      <c r="E22" s="10"/>
      <c r="F22" s="10"/>
    </row>
    <row r="23" customFormat="false" ht="15" hidden="false" customHeight="false" outlineLevel="0" collapsed="false">
      <c r="A23" s="11" t="s">
        <v>39</v>
      </c>
      <c r="B23" s="12" t="s">
        <v>40</v>
      </c>
      <c r="C23" s="12"/>
      <c r="D23" s="12"/>
      <c r="E23" s="12"/>
      <c r="F23" s="12"/>
    </row>
    <row r="24" customFormat="false" ht="15" hidden="false" customHeight="false" outlineLevel="0" collapsed="false">
      <c r="A24" s="13" t="s">
        <v>41</v>
      </c>
      <c r="B24" s="12" t="s">
        <v>42</v>
      </c>
      <c r="C24" s="12"/>
      <c r="D24" s="12"/>
      <c r="E24" s="12"/>
      <c r="F24" s="12"/>
    </row>
    <row r="25" customFormat="false" ht="15" hidden="false" customHeight="false" outlineLevel="0" collapsed="false">
      <c r="A25" s="14" t="s">
        <v>43</v>
      </c>
      <c r="B25" s="12" t="s">
        <v>44</v>
      </c>
      <c r="C25" s="12"/>
      <c r="D25" s="12"/>
      <c r="E25" s="12"/>
      <c r="F25" s="12"/>
    </row>
    <row r="27" customFormat="false" ht="42" hidden="false" customHeight="true" outlineLevel="0" collapsed="false">
      <c r="A27" s="15" t="s">
        <v>45</v>
      </c>
      <c r="B27" s="15"/>
      <c r="C27" s="15"/>
      <c r="D27" s="15"/>
      <c r="E27" s="15"/>
      <c r="F27" s="15"/>
    </row>
    <row r="29" customFormat="false" ht="15.75" hidden="false" customHeight="true" outlineLevel="0" collapsed="false">
      <c r="A29" s="16" t="s">
        <v>46</v>
      </c>
      <c r="B29" s="16"/>
      <c r="C29" s="16"/>
      <c r="D29" s="16"/>
      <c r="E29" s="16"/>
      <c r="F29" s="16"/>
    </row>
  </sheetData>
  <mergeCells count="18">
    <mergeCell ref="A1:F1"/>
    <mergeCell ref="A2:F2"/>
    <mergeCell ref="A4:F4"/>
    <mergeCell ref="A6:F6"/>
    <mergeCell ref="A8:F8"/>
    <mergeCell ref="A14:F14"/>
    <mergeCell ref="B15:F15"/>
    <mergeCell ref="B16:F16"/>
    <mergeCell ref="B17:F17"/>
    <mergeCell ref="B18:F18"/>
    <mergeCell ref="B19:F19"/>
    <mergeCell ref="B20:F20"/>
    <mergeCell ref="A22:F22"/>
    <mergeCell ref="B23:F23"/>
    <mergeCell ref="B24:F24"/>
    <mergeCell ref="B25:F25"/>
    <mergeCell ref="A27:F27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9" min="6" style="0" width="13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17" t="s">
        <v>49</v>
      </c>
      <c r="B4" s="18"/>
      <c r="C4" s="18"/>
      <c r="D4" s="18"/>
      <c r="E4" s="18"/>
      <c r="G4" s="17" t="s">
        <v>50</v>
      </c>
      <c r="I4" s="18" t="s">
        <v>51</v>
      </c>
      <c r="J4" s="18"/>
      <c r="K4" s="18"/>
    </row>
    <row r="5" customFormat="false" ht="15" hidden="false" customHeight="false" outlineLevel="0" collapsed="false">
      <c r="A5" s="17" t="s">
        <v>52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7" customFormat="false" ht="21.75" hidden="false" customHeight="true" outlineLevel="0" collapsed="false">
      <c r="A7" s="10" t="s">
        <v>53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31.5" hidden="false" customHeight="true" outlineLevel="0" collapsed="false">
      <c r="A8" s="6" t="s">
        <v>54</v>
      </c>
      <c r="B8" s="6" t="s">
        <v>55</v>
      </c>
      <c r="C8" s="6" t="s">
        <v>56</v>
      </c>
      <c r="D8" s="6" t="s">
        <v>57</v>
      </c>
      <c r="E8" s="6" t="s">
        <v>58</v>
      </c>
      <c r="F8" s="6" t="s">
        <v>59</v>
      </c>
      <c r="G8" s="6" t="s">
        <v>60</v>
      </c>
      <c r="H8" s="6" t="s">
        <v>61</v>
      </c>
      <c r="I8" s="6" t="s">
        <v>62</v>
      </c>
      <c r="J8" s="6" t="s">
        <v>63</v>
      </c>
      <c r="K8" s="6" t="s">
        <v>64</v>
      </c>
    </row>
    <row r="9" customFormat="false" ht="15" hidden="false" customHeight="false" outlineLevel="0" collapsed="false">
      <c r="A9" s="19" t="s">
        <v>65</v>
      </c>
      <c r="B9" s="20" t="n">
        <v>40</v>
      </c>
      <c r="C9" s="20" t="n">
        <v>20</v>
      </c>
      <c r="D9" s="20" t="n">
        <v>11</v>
      </c>
      <c r="E9" s="21" t="n">
        <v>80000</v>
      </c>
      <c r="F9" s="22" t="n">
        <f aca="false">IFERROR(E9/D9,"")</f>
        <v>7272.72727272727</v>
      </c>
      <c r="G9" s="23" t="n">
        <f aca="false">IFERROR(C9/B9,"")</f>
        <v>0.5</v>
      </c>
      <c r="H9" s="23" t="n">
        <f aca="false">IFERROR(D9/C9,"")</f>
        <v>0.55</v>
      </c>
      <c r="I9" s="23" t="n">
        <f aca="false">IFERROR(D9/B9,"")</f>
        <v>0.275</v>
      </c>
      <c r="J9" s="24" t="n">
        <f aca="false">IFERROR(E9/B9,"")</f>
        <v>2000</v>
      </c>
      <c r="K9" s="23" t="n">
        <f aca="false">IFERROR(E9/$E$21,"")</f>
        <v>1</v>
      </c>
    </row>
    <row r="10" customFormat="false" ht="15" hidden="false" customHeight="false" outlineLevel="0" collapsed="false">
      <c r="A10" s="11"/>
      <c r="B10" s="25"/>
      <c r="C10" s="25"/>
      <c r="D10" s="25"/>
      <c r="E10" s="26"/>
      <c r="F10" s="22" t="str">
        <f aca="false">IFERROR(E10/D10,"")</f>
        <v/>
      </c>
      <c r="G10" s="23" t="str">
        <f aca="false">IFERROR(C10/B10,"")</f>
        <v/>
      </c>
      <c r="H10" s="23" t="str">
        <f aca="false">IFERROR(D10/C10,"")</f>
        <v/>
      </c>
      <c r="I10" s="23" t="str">
        <f aca="false">IFERROR(D10/B10,"")</f>
        <v/>
      </c>
      <c r="J10" s="24" t="str">
        <f aca="false">IFERROR(E10/B10,"")</f>
        <v/>
      </c>
      <c r="K10" s="23" t="n">
        <f aca="false">IFERROR(E10/$E$21,"")</f>
        <v>0</v>
      </c>
    </row>
    <row r="11" customFormat="false" ht="15" hidden="false" customHeight="false" outlineLevel="0" collapsed="false">
      <c r="A11" s="11"/>
      <c r="B11" s="25"/>
      <c r="C11" s="25"/>
      <c r="D11" s="25"/>
      <c r="E11" s="26"/>
      <c r="F11" s="22" t="str">
        <f aca="false">IFERROR(E11/D11,"")</f>
        <v/>
      </c>
      <c r="G11" s="23" t="str">
        <f aca="false">IFERROR(C11/B11,"")</f>
        <v/>
      </c>
      <c r="H11" s="23" t="str">
        <f aca="false">IFERROR(D11/C11,"")</f>
        <v/>
      </c>
      <c r="I11" s="23" t="str">
        <f aca="false">IFERROR(D11/B11,"")</f>
        <v/>
      </c>
      <c r="J11" s="24" t="str">
        <f aca="false">IFERROR(E11/B11,"")</f>
        <v/>
      </c>
      <c r="K11" s="23" t="n">
        <f aca="false">IFERROR(E11/$E$21,"")</f>
        <v>0</v>
      </c>
    </row>
    <row r="12" customFormat="false" ht="15" hidden="false" customHeight="false" outlineLevel="0" collapsed="false">
      <c r="A12" s="11"/>
      <c r="B12" s="25"/>
      <c r="C12" s="25"/>
      <c r="D12" s="25"/>
      <c r="E12" s="26"/>
      <c r="F12" s="22" t="str">
        <f aca="false">IFERROR(E12/D12,"")</f>
        <v/>
      </c>
      <c r="G12" s="23" t="str">
        <f aca="false">IFERROR(C12/B12,"")</f>
        <v/>
      </c>
      <c r="H12" s="23" t="str">
        <f aca="false">IFERROR(D12/C12,"")</f>
        <v/>
      </c>
      <c r="I12" s="23" t="str">
        <f aca="false">IFERROR(D12/B12,"")</f>
        <v/>
      </c>
      <c r="J12" s="24" t="str">
        <f aca="false">IFERROR(E12/B12,"")</f>
        <v/>
      </c>
      <c r="K12" s="23" t="n">
        <f aca="false">IFERROR(E12/$E$21,"")</f>
        <v>0</v>
      </c>
    </row>
    <row r="13" customFormat="false" ht="15" hidden="false" customHeight="false" outlineLevel="0" collapsed="false">
      <c r="A13" s="11"/>
      <c r="B13" s="25"/>
      <c r="C13" s="25"/>
      <c r="D13" s="25"/>
      <c r="E13" s="26"/>
      <c r="F13" s="22" t="str">
        <f aca="false">IFERROR(E13/D13,"")</f>
        <v/>
      </c>
      <c r="G13" s="23" t="str">
        <f aca="false">IFERROR(C13/B13,"")</f>
        <v/>
      </c>
      <c r="H13" s="23" t="str">
        <f aca="false">IFERROR(D13/C13,"")</f>
        <v/>
      </c>
      <c r="I13" s="23" t="str">
        <f aca="false">IFERROR(D13/B13,"")</f>
        <v/>
      </c>
      <c r="J13" s="24" t="str">
        <f aca="false">IFERROR(E13/B13,"")</f>
        <v/>
      </c>
      <c r="K13" s="23" t="n">
        <f aca="false">IFERROR(E13/$E$21,"")</f>
        <v>0</v>
      </c>
    </row>
    <row r="14" customFormat="false" ht="15" hidden="false" customHeight="false" outlineLevel="0" collapsed="false">
      <c r="A14" s="11"/>
      <c r="B14" s="25"/>
      <c r="C14" s="25"/>
      <c r="D14" s="25"/>
      <c r="E14" s="26"/>
      <c r="F14" s="22" t="str">
        <f aca="false">IFERROR(E14/D14,"")</f>
        <v/>
      </c>
      <c r="G14" s="23" t="str">
        <f aca="false">IFERROR(C14/B14,"")</f>
        <v/>
      </c>
      <c r="H14" s="23" t="str">
        <f aca="false">IFERROR(D14/C14,"")</f>
        <v/>
      </c>
      <c r="I14" s="23" t="str">
        <f aca="false">IFERROR(D14/B14,"")</f>
        <v/>
      </c>
      <c r="J14" s="24" t="str">
        <f aca="false">IFERROR(E14/B14,"")</f>
        <v/>
      </c>
      <c r="K14" s="23" t="n">
        <f aca="false">IFERROR(E14/$E$21,"")</f>
        <v>0</v>
      </c>
    </row>
    <row r="15" customFormat="false" ht="15" hidden="false" customHeight="false" outlineLevel="0" collapsed="false">
      <c r="A15" s="11"/>
      <c r="B15" s="25"/>
      <c r="C15" s="25"/>
      <c r="D15" s="25"/>
      <c r="E15" s="26"/>
      <c r="F15" s="22" t="str">
        <f aca="false">IFERROR(E15/D15,"")</f>
        <v/>
      </c>
      <c r="G15" s="23" t="str">
        <f aca="false">IFERROR(C15/B15,"")</f>
        <v/>
      </c>
      <c r="H15" s="23" t="str">
        <f aca="false">IFERROR(D15/C15,"")</f>
        <v/>
      </c>
      <c r="I15" s="23" t="str">
        <f aca="false">IFERROR(D15/B15,"")</f>
        <v/>
      </c>
      <c r="J15" s="24" t="str">
        <f aca="false">IFERROR(E15/B15,"")</f>
        <v/>
      </c>
      <c r="K15" s="23" t="n">
        <f aca="false">IFERROR(E15/$E$21,"")</f>
        <v>0</v>
      </c>
    </row>
    <row r="16" customFormat="false" ht="15" hidden="false" customHeight="false" outlineLevel="0" collapsed="false">
      <c r="A16" s="11"/>
      <c r="B16" s="25"/>
      <c r="C16" s="25"/>
      <c r="D16" s="25"/>
      <c r="E16" s="26"/>
      <c r="F16" s="22" t="str">
        <f aca="false">IFERROR(E16/D16,"")</f>
        <v/>
      </c>
      <c r="G16" s="23" t="str">
        <f aca="false">IFERROR(C16/B16,"")</f>
        <v/>
      </c>
      <c r="H16" s="23" t="str">
        <f aca="false">IFERROR(D16/C16,"")</f>
        <v/>
      </c>
      <c r="I16" s="23" t="str">
        <f aca="false">IFERROR(D16/B16,"")</f>
        <v/>
      </c>
      <c r="J16" s="24" t="str">
        <f aca="false">IFERROR(E16/B16,"")</f>
        <v/>
      </c>
      <c r="K16" s="23" t="n">
        <f aca="false">IFERROR(E16/$E$21,"")</f>
        <v>0</v>
      </c>
    </row>
    <row r="17" customFormat="false" ht="15" hidden="false" customHeight="false" outlineLevel="0" collapsed="false">
      <c r="A17" s="11"/>
      <c r="B17" s="25"/>
      <c r="C17" s="25"/>
      <c r="D17" s="25"/>
      <c r="E17" s="26"/>
      <c r="F17" s="22" t="str">
        <f aca="false">IFERROR(E17/D17,"")</f>
        <v/>
      </c>
      <c r="G17" s="23" t="str">
        <f aca="false">IFERROR(C17/B17,"")</f>
        <v/>
      </c>
      <c r="H17" s="23" t="str">
        <f aca="false">IFERROR(D17/C17,"")</f>
        <v/>
      </c>
      <c r="I17" s="23" t="str">
        <f aca="false">IFERROR(D17/B17,"")</f>
        <v/>
      </c>
      <c r="J17" s="24" t="str">
        <f aca="false">IFERROR(E17/B17,"")</f>
        <v/>
      </c>
      <c r="K17" s="23" t="n">
        <f aca="false">IFERROR(E17/$E$21,"")</f>
        <v>0</v>
      </c>
    </row>
    <row r="18" customFormat="false" ht="15" hidden="false" customHeight="false" outlineLevel="0" collapsed="false">
      <c r="A18" s="11"/>
      <c r="B18" s="25"/>
      <c r="C18" s="25"/>
      <c r="D18" s="25"/>
      <c r="E18" s="26"/>
      <c r="F18" s="22" t="str">
        <f aca="false">IFERROR(E18/D18,"")</f>
        <v/>
      </c>
      <c r="G18" s="23" t="str">
        <f aca="false">IFERROR(C18/B18,"")</f>
        <v/>
      </c>
      <c r="H18" s="23" t="str">
        <f aca="false">IFERROR(D18/C18,"")</f>
        <v/>
      </c>
      <c r="I18" s="23" t="str">
        <f aca="false">IFERROR(D18/B18,"")</f>
        <v/>
      </c>
      <c r="J18" s="24" t="str">
        <f aca="false">IFERROR(E18/B18,"")</f>
        <v/>
      </c>
      <c r="K18" s="23" t="n">
        <f aca="false">IFERROR(E18/$E$21,"")</f>
        <v>0</v>
      </c>
    </row>
    <row r="19" customFormat="false" ht="15" hidden="false" customHeight="false" outlineLevel="0" collapsed="false">
      <c r="A19" s="11"/>
      <c r="B19" s="25"/>
      <c r="C19" s="25"/>
      <c r="D19" s="25"/>
      <c r="E19" s="26"/>
      <c r="F19" s="22" t="str">
        <f aca="false">IFERROR(E19/D19,"")</f>
        <v/>
      </c>
      <c r="G19" s="23" t="str">
        <f aca="false">IFERROR(C19/B19,"")</f>
        <v/>
      </c>
      <c r="H19" s="23" t="str">
        <f aca="false">IFERROR(D19/C19,"")</f>
        <v/>
      </c>
      <c r="I19" s="23" t="str">
        <f aca="false">IFERROR(D19/B19,"")</f>
        <v/>
      </c>
      <c r="J19" s="24" t="str">
        <f aca="false">IFERROR(E19/B19,"")</f>
        <v/>
      </c>
      <c r="K19" s="23" t="n">
        <f aca="false">IFERROR(E19/$E$21,"")</f>
        <v>0</v>
      </c>
    </row>
    <row r="20" customFormat="false" ht="15" hidden="false" customHeight="false" outlineLevel="0" collapsed="false">
      <c r="A20" s="11"/>
      <c r="B20" s="25"/>
      <c r="C20" s="25"/>
      <c r="D20" s="25"/>
      <c r="E20" s="26"/>
      <c r="F20" s="22" t="str">
        <f aca="false">IFERROR(E20/D20,"")</f>
        <v/>
      </c>
      <c r="G20" s="23" t="str">
        <f aca="false">IFERROR(C20/B20,"")</f>
        <v/>
      </c>
      <c r="H20" s="23" t="str">
        <f aca="false">IFERROR(D20/C20,"")</f>
        <v/>
      </c>
      <c r="I20" s="23" t="str">
        <f aca="false">IFERROR(D20/B20,"")</f>
        <v/>
      </c>
      <c r="J20" s="24" t="str">
        <f aca="false">IFERROR(E20/B20,"")</f>
        <v/>
      </c>
      <c r="K20" s="23" t="n">
        <f aca="false">IFERROR(E20/$E$21,"")</f>
        <v>0</v>
      </c>
    </row>
    <row r="21" customFormat="false" ht="15" hidden="false" customHeight="false" outlineLevel="0" collapsed="false">
      <c r="A21" s="27" t="s">
        <v>66</v>
      </c>
      <c r="B21" s="28" t="n">
        <f aca="false">SUM(B9:B20)</f>
        <v>40</v>
      </c>
      <c r="C21" s="28" t="n">
        <f aca="false">SUM(C9:C20)</f>
        <v>20</v>
      </c>
      <c r="D21" s="28" t="n">
        <f aca="false">SUM(D9:D20)</f>
        <v>11</v>
      </c>
      <c r="E21" s="29" t="n">
        <f aca="false">SUM(E9:E20)</f>
        <v>80000</v>
      </c>
      <c r="F21" s="29" t="n">
        <f aca="false">IFERROR(E21/D21,"")</f>
        <v>7272.72727272727</v>
      </c>
      <c r="G21" s="30" t="n">
        <f aca="false">IFERROR(C21/B21,"")</f>
        <v>0.5</v>
      </c>
      <c r="H21" s="30" t="n">
        <f aca="false">IFERROR(D21/C21,"")</f>
        <v>0.55</v>
      </c>
      <c r="I21" s="30" t="n">
        <f aca="false">IFERROR(D21/B21,"")</f>
        <v>0.275</v>
      </c>
      <c r="J21" s="31" t="n">
        <f aca="false">IFERROR(E21/B21,"")</f>
        <v>2000</v>
      </c>
      <c r="K21" s="30" t="n">
        <f aca="false">IFERROR(SUM(K9:K20),"")</f>
        <v>1</v>
      </c>
    </row>
    <row r="23" customFormat="false" ht="21.75" hidden="false" customHeight="true" outlineLevel="0" collapsed="false">
      <c r="A23" s="5" t="s">
        <v>67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30" hidden="false" customHeight="true" outlineLevel="0" collapsed="false">
      <c r="A24" s="32" t="s">
        <v>68</v>
      </c>
      <c r="B24" s="33" t="str">
        <f aca="false">IFERROR(INDEX($A$9:$A$20,MATCH(MAX($E$9:$E$20),$E$9:$E$20,0)),"")</f>
        <v>Indicação  (exemplo — apague e coloque as suas)</v>
      </c>
      <c r="C24" s="33"/>
      <c r="D24" s="33"/>
      <c r="E24" s="34" t="n">
        <f aca="false">IFERROR(MAX($E$9:$E$20),"")</f>
        <v>80000</v>
      </c>
      <c r="F24" s="35" t="s">
        <v>69</v>
      </c>
      <c r="G24" s="35"/>
      <c r="H24" s="35"/>
      <c r="I24" s="35"/>
      <c r="J24" s="35"/>
      <c r="K24" s="35"/>
    </row>
    <row r="25" customFormat="false" ht="30" hidden="false" customHeight="true" outlineLevel="0" collapsed="false">
      <c r="A25" s="32" t="s">
        <v>70</v>
      </c>
      <c r="B25" s="33" t="str">
        <f aca="false">IFERROR(INDEX($A$9:$A$20,MATCH(MAX($J$9:$J$20),$J$9:$J$20,0)),"")</f>
        <v>Indicação  (exemplo — apague e coloque as suas)</v>
      </c>
      <c r="C25" s="33"/>
      <c r="D25" s="33"/>
      <c r="E25" s="36" t="n">
        <f aca="false">IFERROR(MAX($J$9:$J$20),"")</f>
        <v>2000</v>
      </c>
      <c r="F25" s="35" t="s">
        <v>71</v>
      </c>
      <c r="G25" s="35"/>
      <c r="H25" s="35"/>
      <c r="I25" s="35"/>
      <c r="J25" s="35"/>
      <c r="K25" s="35"/>
    </row>
    <row r="26" customFormat="false" ht="30" hidden="false" customHeight="true" outlineLevel="0" collapsed="false">
      <c r="A26" s="32" t="s">
        <v>72</v>
      </c>
      <c r="B26" s="33" t="str">
        <f aca="false">IFERROR(INDEX($A$9:$A$20,MATCH(MIN($J$9:$J$20),$J$9:$J$20,0)),"")</f>
        <v>Indicação  (exemplo — apague e coloque as suas)</v>
      </c>
      <c r="C26" s="33"/>
      <c r="D26" s="33"/>
      <c r="E26" s="36" t="n">
        <f aca="false">IFERROR(MIN($J$9:$J$20),"")</f>
        <v>2000</v>
      </c>
      <c r="F26" s="35" t="s">
        <v>73</v>
      </c>
      <c r="G26" s="35"/>
      <c r="H26" s="35"/>
      <c r="I26" s="35"/>
      <c r="J26" s="35"/>
      <c r="K26" s="35"/>
    </row>
    <row r="27" customFormat="false" ht="30" hidden="false" customHeight="true" outlineLevel="0" collapsed="false">
      <c r="A27" s="32" t="s">
        <v>74</v>
      </c>
      <c r="B27" s="33" t="str">
        <f aca="false">IFERROR(INDEX($A$9:$A$20,MATCH(MAX($B$9:$B$20),$B$9:$B$20,0)),"")</f>
        <v>Indicação  (exemplo — apague e coloque as suas)</v>
      </c>
      <c r="C27" s="33"/>
      <c r="D27" s="33"/>
      <c r="E27" s="37" t="n">
        <f aca="false">IFERROR(MAX($B$9:$B$20),"")</f>
        <v>40</v>
      </c>
      <c r="F27" s="35" t="s">
        <v>75</v>
      </c>
      <c r="G27" s="35"/>
      <c r="H27" s="35"/>
      <c r="I27" s="35"/>
      <c r="J27" s="35"/>
      <c r="K27" s="35"/>
    </row>
    <row r="28" customFormat="false" ht="30" hidden="false" customHeight="true" outlineLevel="0" collapsed="false">
      <c r="A28" s="32" t="s">
        <v>76</v>
      </c>
      <c r="B28" s="33" t="str">
        <f aca="false">IFERROR(INDEX($A$9:$A$20,MATCH(MIN($I$9:$I$20),$I$9:$I$20,0)),"")</f>
        <v>Indicação  (exemplo — apague e coloque as suas)</v>
      </c>
      <c r="C28" s="33"/>
      <c r="D28" s="33"/>
      <c r="E28" s="38" t="n">
        <f aca="false">IFERROR(MIN($I$9:$I$20),"")</f>
        <v>0.275</v>
      </c>
      <c r="F28" s="35" t="s">
        <v>77</v>
      </c>
      <c r="G28" s="35"/>
      <c r="H28" s="35"/>
      <c r="I28" s="35"/>
      <c r="J28" s="35"/>
      <c r="K28" s="35"/>
    </row>
    <row r="30" customFormat="false" ht="21.75" hidden="false" customHeight="true" outlineLevel="0" collapsed="false">
      <c r="A30" s="10" t="s">
        <v>78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customFormat="false" ht="25.5" hidden="false" customHeight="true" outlineLevel="0" collapsed="false">
      <c r="A31" s="39" t="s">
        <v>54</v>
      </c>
      <c r="B31" s="40" t="s">
        <v>79</v>
      </c>
      <c r="C31" s="40"/>
      <c r="D31" s="40"/>
      <c r="E31" s="40"/>
      <c r="F31" s="40"/>
      <c r="G31" s="40"/>
      <c r="H31" s="40"/>
      <c r="I31" s="40"/>
      <c r="J31" s="40"/>
      <c r="K31" s="40"/>
    </row>
    <row r="32" customFormat="false" ht="25.5" hidden="false" customHeight="true" outlineLevel="0" collapsed="false">
      <c r="A32" s="39" t="s">
        <v>55</v>
      </c>
      <c r="B32" s="40" t="s">
        <v>80</v>
      </c>
      <c r="C32" s="40"/>
      <c r="D32" s="40"/>
      <c r="E32" s="40"/>
      <c r="F32" s="40"/>
      <c r="G32" s="40"/>
      <c r="H32" s="40"/>
      <c r="I32" s="40"/>
      <c r="J32" s="40"/>
      <c r="K32" s="40"/>
    </row>
    <row r="33" customFormat="false" ht="25.5" hidden="false" customHeight="true" outlineLevel="0" collapsed="false">
      <c r="A33" s="39" t="s">
        <v>56</v>
      </c>
      <c r="B33" s="40" t="s">
        <v>81</v>
      </c>
      <c r="C33" s="40"/>
      <c r="D33" s="40"/>
      <c r="E33" s="40"/>
      <c r="F33" s="40"/>
      <c r="G33" s="40"/>
      <c r="H33" s="40"/>
      <c r="I33" s="40"/>
      <c r="J33" s="40"/>
      <c r="K33" s="40"/>
    </row>
    <row r="34" customFormat="false" ht="15.75" hidden="false" customHeight="true" outlineLevel="0" collapsed="false">
      <c r="A34" s="39" t="s">
        <v>57</v>
      </c>
      <c r="B34" s="40" t="s">
        <v>82</v>
      </c>
      <c r="C34" s="40"/>
      <c r="D34" s="40"/>
      <c r="E34" s="40"/>
      <c r="F34" s="40"/>
      <c r="G34" s="40"/>
      <c r="H34" s="40"/>
      <c r="I34" s="40"/>
      <c r="J34" s="40"/>
      <c r="K34" s="40"/>
    </row>
    <row r="35" customFormat="false" ht="15.75" hidden="false" customHeight="true" outlineLevel="0" collapsed="false">
      <c r="A35" s="39" t="s">
        <v>58</v>
      </c>
      <c r="B35" s="40" t="s">
        <v>83</v>
      </c>
      <c r="C35" s="40"/>
      <c r="D35" s="40"/>
      <c r="E35" s="40"/>
      <c r="F35" s="40"/>
      <c r="G35" s="40"/>
      <c r="H35" s="40"/>
      <c r="I35" s="40"/>
      <c r="J35" s="40"/>
      <c r="K35" s="40"/>
    </row>
  </sheetData>
  <mergeCells count="23">
    <mergeCell ref="A1:K1"/>
    <mergeCell ref="A2:K2"/>
    <mergeCell ref="B4:E4"/>
    <mergeCell ref="I4:K4"/>
    <mergeCell ref="B5:K5"/>
    <mergeCell ref="A7:K7"/>
    <mergeCell ref="A23:K23"/>
    <mergeCell ref="B24:D24"/>
    <mergeCell ref="F24:K24"/>
    <mergeCell ref="B25:D25"/>
    <mergeCell ref="F25:K25"/>
    <mergeCell ref="B26:D26"/>
    <mergeCell ref="F26:K26"/>
    <mergeCell ref="B27:D27"/>
    <mergeCell ref="F27:K27"/>
    <mergeCell ref="B28:D28"/>
    <mergeCell ref="F28:K28"/>
    <mergeCell ref="A30:K30"/>
    <mergeCell ref="B31:K31"/>
    <mergeCell ref="B32:K32"/>
    <mergeCell ref="B33:K33"/>
    <mergeCell ref="B34:K34"/>
    <mergeCell ref="B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85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1" t="s">
        <v>86</v>
      </c>
      <c r="B4" s="41"/>
      <c r="C4" s="26"/>
      <c r="D4" s="42" t="s">
        <v>87</v>
      </c>
      <c r="E4" s="42"/>
      <c r="F4" s="43" t="n">
        <f aca="false">'1. Plano de Receita'!E21</f>
        <v>80000</v>
      </c>
    </row>
    <row r="6" customFormat="false" ht="21.75" hidden="false" customHeight="true" outlineLevel="0" collapsed="false">
      <c r="A6" s="10" t="s">
        <v>88</v>
      </c>
      <c r="B6" s="10"/>
      <c r="C6" s="10"/>
      <c r="D6" s="10"/>
      <c r="E6" s="10"/>
      <c r="F6" s="10"/>
      <c r="G6" s="10"/>
      <c r="H6" s="10"/>
      <c r="I6" s="10"/>
      <c r="J6" s="10"/>
    </row>
    <row r="7" customFormat="false" ht="31.5" hidden="false" customHeight="true" outlineLevel="0" collapsed="false">
      <c r="A7" s="6" t="s">
        <v>54</v>
      </c>
      <c r="B7" s="6" t="s">
        <v>89</v>
      </c>
      <c r="C7" s="6" t="s">
        <v>90</v>
      </c>
      <c r="D7" s="6" t="s">
        <v>91</v>
      </c>
      <c r="E7" s="6" t="s">
        <v>92</v>
      </c>
      <c r="F7" s="6" t="s">
        <v>93</v>
      </c>
      <c r="G7" s="6" t="s">
        <v>63</v>
      </c>
      <c r="H7" s="6" t="s">
        <v>94</v>
      </c>
      <c r="I7" s="6" t="s">
        <v>95</v>
      </c>
      <c r="J7" s="6" t="s">
        <v>96</v>
      </c>
    </row>
    <row r="8" customFormat="false" ht="15" hidden="false" customHeight="false" outlineLevel="0" collapsed="false">
      <c r="A8" s="14" t="str">
        <f aca="false">IF('1. Plano de Receita'!A9="","",'1. Plano de Receita'!A9)</f>
        <v>Indicação  (exemplo — apague e coloque as suas)</v>
      </c>
      <c r="B8" s="44" t="n">
        <f aca="false">IF('1. Plano de Receita'!B9="","",'1. Plano de Receita'!B9)</f>
        <v>40</v>
      </c>
      <c r="C8" s="45" t="n">
        <f aca="false">IF('1. Plano de Receita'!I9="","",'1. Plano de Receita'!I9)</f>
        <v>0.275</v>
      </c>
      <c r="D8" s="46" t="n">
        <f aca="false">IF('1. Plano de Receita'!F9="","",'1. Plano de Receita'!F9)</f>
        <v>7272.72727272727</v>
      </c>
      <c r="E8" s="47" t="n">
        <f aca="false">IFERROR(B8*C8,"")</f>
        <v>11</v>
      </c>
      <c r="F8" s="48" t="n">
        <f aca="false">IFERROR(E8*D8,0)</f>
        <v>80000</v>
      </c>
      <c r="G8" s="24" t="n">
        <f aca="false">IFERROR(F8/B8,"")</f>
        <v>2000</v>
      </c>
      <c r="H8" s="49" t="n">
        <f aca="false">IF('1. Plano de Receita'!E9="","",'1. Plano de Receita'!E9)</f>
        <v>80000</v>
      </c>
      <c r="I8" s="48" t="n">
        <f aca="false">IFERROR(F8-H8,"")</f>
        <v>0</v>
      </c>
      <c r="J8" s="23" t="n">
        <f aca="false">IFERROR(I8/H8,"")</f>
        <v>0</v>
      </c>
    </row>
    <row r="9" customFormat="false" ht="15" hidden="false" customHeight="false" outlineLevel="0" collapsed="false">
      <c r="A9" s="14" t="str">
        <f aca="false">IF('1. Plano de Receita'!A10="","",'1. Plano de Receita'!A10)</f>
        <v/>
      </c>
      <c r="B9" s="44" t="str">
        <f aca="false">IF('1. Plano de Receita'!B10="","",'1. Plano de Receita'!B10)</f>
        <v/>
      </c>
      <c r="C9" s="45" t="str">
        <f aca="false">IF('1. Plano de Receita'!I10="","",'1. Plano de Receita'!I10)</f>
        <v/>
      </c>
      <c r="D9" s="46" t="str">
        <f aca="false">IF('1. Plano de Receita'!F10="","",'1. Plano de Receita'!F10)</f>
        <v/>
      </c>
      <c r="E9" s="47" t="str">
        <f aca="false">IFERROR(B9*C9,"")</f>
        <v/>
      </c>
      <c r="F9" s="48" t="n">
        <f aca="false">IFERROR(E9*D9,0)</f>
        <v>0</v>
      </c>
      <c r="G9" s="24" t="str">
        <f aca="false">IFERROR(F9/B9,"")</f>
        <v/>
      </c>
      <c r="H9" s="49" t="str">
        <f aca="false">IF('1. Plano de Receita'!E10="","",'1. Plano de Receita'!E10)</f>
        <v/>
      </c>
      <c r="I9" s="48" t="str">
        <f aca="false">IFERROR(F9-H9,"")</f>
        <v/>
      </c>
      <c r="J9" s="23" t="str">
        <f aca="false">IFERROR(I9/H9,"")</f>
        <v/>
      </c>
    </row>
    <row r="10" customFormat="false" ht="15" hidden="false" customHeight="false" outlineLevel="0" collapsed="false">
      <c r="A10" s="14" t="str">
        <f aca="false">IF('1. Plano de Receita'!A11="","",'1. Plano de Receita'!A11)</f>
        <v/>
      </c>
      <c r="B10" s="44" t="str">
        <f aca="false">IF('1. Plano de Receita'!B11="","",'1. Plano de Receita'!B11)</f>
        <v/>
      </c>
      <c r="C10" s="45" t="str">
        <f aca="false">IF('1. Plano de Receita'!I11="","",'1. Plano de Receita'!I11)</f>
        <v/>
      </c>
      <c r="D10" s="46" t="str">
        <f aca="false">IF('1. Plano de Receita'!F11="","",'1. Plano de Receita'!F11)</f>
        <v/>
      </c>
      <c r="E10" s="47" t="str">
        <f aca="false">IFERROR(B10*C10,"")</f>
        <v/>
      </c>
      <c r="F10" s="48" t="n">
        <f aca="false">IFERROR(E10*D10,0)</f>
        <v>0</v>
      </c>
      <c r="G10" s="24" t="str">
        <f aca="false">IFERROR(F10/B10,"")</f>
        <v/>
      </c>
      <c r="H10" s="49" t="str">
        <f aca="false">IF('1. Plano de Receita'!E11="","",'1. Plano de Receita'!E11)</f>
        <v/>
      </c>
      <c r="I10" s="48" t="str">
        <f aca="false">IFERROR(F10-H10,"")</f>
        <v/>
      </c>
      <c r="J10" s="23" t="str">
        <f aca="false">IFERROR(I10/H10,"")</f>
        <v/>
      </c>
    </row>
    <row r="11" customFormat="false" ht="15" hidden="false" customHeight="false" outlineLevel="0" collapsed="false">
      <c r="A11" s="14" t="str">
        <f aca="false">IF('1. Plano de Receita'!A12="","",'1. Plano de Receita'!A12)</f>
        <v/>
      </c>
      <c r="B11" s="44" t="str">
        <f aca="false">IF('1. Plano de Receita'!B12="","",'1. Plano de Receita'!B12)</f>
        <v/>
      </c>
      <c r="C11" s="45" t="str">
        <f aca="false">IF('1. Plano de Receita'!I12="","",'1. Plano de Receita'!I12)</f>
        <v/>
      </c>
      <c r="D11" s="46" t="str">
        <f aca="false">IF('1. Plano de Receita'!F12="","",'1. Plano de Receita'!F12)</f>
        <v/>
      </c>
      <c r="E11" s="47" t="str">
        <f aca="false">IFERROR(B11*C11,"")</f>
        <v/>
      </c>
      <c r="F11" s="48" t="n">
        <f aca="false">IFERROR(E11*D11,0)</f>
        <v>0</v>
      </c>
      <c r="G11" s="24" t="str">
        <f aca="false">IFERROR(F11/B11,"")</f>
        <v/>
      </c>
      <c r="H11" s="49" t="str">
        <f aca="false">IF('1. Plano de Receita'!E12="","",'1. Plano de Receita'!E12)</f>
        <v/>
      </c>
      <c r="I11" s="48" t="str">
        <f aca="false">IFERROR(F11-H11,"")</f>
        <v/>
      </c>
      <c r="J11" s="23" t="str">
        <f aca="false">IFERROR(I11/H11,"")</f>
        <v/>
      </c>
    </row>
    <row r="12" customFormat="false" ht="15" hidden="false" customHeight="false" outlineLevel="0" collapsed="false">
      <c r="A12" s="14" t="str">
        <f aca="false">IF('1. Plano de Receita'!A13="","",'1. Plano de Receita'!A13)</f>
        <v/>
      </c>
      <c r="B12" s="44" t="str">
        <f aca="false">IF('1. Plano de Receita'!B13="","",'1. Plano de Receita'!B13)</f>
        <v/>
      </c>
      <c r="C12" s="45" t="str">
        <f aca="false">IF('1. Plano de Receita'!I13="","",'1. Plano de Receita'!I13)</f>
        <v/>
      </c>
      <c r="D12" s="46" t="str">
        <f aca="false">IF('1. Plano de Receita'!F13="","",'1. Plano de Receita'!F13)</f>
        <v/>
      </c>
      <c r="E12" s="47" t="str">
        <f aca="false">IFERROR(B12*C12,"")</f>
        <v/>
      </c>
      <c r="F12" s="48" t="n">
        <f aca="false">IFERROR(E12*D12,0)</f>
        <v>0</v>
      </c>
      <c r="G12" s="24" t="str">
        <f aca="false">IFERROR(F12/B12,"")</f>
        <v/>
      </c>
      <c r="H12" s="49" t="str">
        <f aca="false">IF('1. Plano de Receita'!E13="","",'1. Plano de Receita'!E13)</f>
        <v/>
      </c>
      <c r="I12" s="48" t="str">
        <f aca="false">IFERROR(F12-H12,"")</f>
        <v/>
      </c>
      <c r="J12" s="23" t="str">
        <f aca="false">IFERROR(I12/H12,"")</f>
        <v/>
      </c>
    </row>
    <row r="13" customFormat="false" ht="15" hidden="false" customHeight="false" outlineLevel="0" collapsed="false">
      <c r="A13" s="14" t="str">
        <f aca="false">IF('1. Plano de Receita'!A14="","",'1. Plano de Receita'!A14)</f>
        <v/>
      </c>
      <c r="B13" s="44" t="str">
        <f aca="false">IF('1. Plano de Receita'!B14="","",'1. Plano de Receita'!B14)</f>
        <v/>
      </c>
      <c r="C13" s="45" t="str">
        <f aca="false">IF('1. Plano de Receita'!I14="","",'1. Plano de Receita'!I14)</f>
        <v/>
      </c>
      <c r="D13" s="46" t="str">
        <f aca="false">IF('1. Plano de Receita'!F14="","",'1. Plano de Receita'!F14)</f>
        <v/>
      </c>
      <c r="E13" s="47" t="str">
        <f aca="false">IFERROR(B13*C13,"")</f>
        <v/>
      </c>
      <c r="F13" s="48" t="n">
        <f aca="false">IFERROR(E13*D13,0)</f>
        <v>0</v>
      </c>
      <c r="G13" s="24" t="str">
        <f aca="false">IFERROR(F13/B13,"")</f>
        <v/>
      </c>
      <c r="H13" s="49" t="str">
        <f aca="false">IF('1. Plano de Receita'!E14="","",'1. Plano de Receita'!E14)</f>
        <v/>
      </c>
      <c r="I13" s="48" t="str">
        <f aca="false">IFERROR(F13-H13,"")</f>
        <v/>
      </c>
      <c r="J13" s="23" t="str">
        <f aca="false">IFERROR(I13/H13,"")</f>
        <v/>
      </c>
    </row>
    <row r="14" customFormat="false" ht="15" hidden="false" customHeight="false" outlineLevel="0" collapsed="false">
      <c r="A14" s="14" t="str">
        <f aca="false">IF('1. Plano de Receita'!A15="","",'1. Plano de Receita'!A15)</f>
        <v/>
      </c>
      <c r="B14" s="44" t="str">
        <f aca="false">IF('1. Plano de Receita'!B15="","",'1. Plano de Receita'!B15)</f>
        <v/>
      </c>
      <c r="C14" s="45" t="str">
        <f aca="false">IF('1. Plano de Receita'!I15="","",'1. Plano de Receita'!I15)</f>
        <v/>
      </c>
      <c r="D14" s="46" t="str">
        <f aca="false">IF('1. Plano de Receita'!F15="","",'1. Plano de Receita'!F15)</f>
        <v/>
      </c>
      <c r="E14" s="47" t="str">
        <f aca="false">IFERROR(B14*C14,"")</f>
        <v/>
      </c>
      <c r="F14" s="48" t="n">
        <f aca="false">IFERROR(E14*D14,0)</f>
        <v>0</v>
      </c>
      <c r="G14" s="24" t="str">
        <f aca="false">IFERROR(F14/B14,"")</f>
        <v/>
      </c>
      <c r="H14" s="49" t="str">
        <f aca="false">IF('1. Plano de Receita'!E15="","",'1. Plano de Receita'!E15)</f>
        <v/>
      </c>
      <c r="I14" s="48" t="str">
        <f aca="false">IFERROR(F14-H14,"")</f>
        <v/>
      </c>
      <c r="J14" s="23" t="str">
        <f aca="false">IFERROR(I14/H14,"")</f>
        <v/>
      </c>
    </row>
    <row r="15" customFormat="false" ht="15" hidden="false" customHeight="false" outlineLevel="0" collapsed="false">
      <c r="A15" s="14" t="str">
        <f aca="false">IF('1. Plano de Receita'!A16="","",'1. Plano de Receita'!A16)</f>
        <v/>
      </c>
      <c r="B15" s="44" t="str">
        <f aca="false">IF('1. Plano de Receita'!B16="","",'1. Plano de Receita'!B16)</f>
        <v/>
      </c>
      <c r="C15" s="45" t="str">
        <f aca="false">IF('1. Plano de Receita'!I16="","",'1. Plano de Receita'!I16)</f>
        <v/>
      </c>
      <c r="D15" s="46" t="str">
        <f aca="false">IF('1. Plano de Receita'!F16="","",'1. Plano de Receita'!F16)</f>
        <v/>
      </c>
      <c r="E15" s="47" t="str">
        <f aca="false">IFERROR(B15*C15,"")</f>
        <v/>
      </c>
      <c r="F15" s="48" t="n">
        <f aca="false">IFERROR(E15*D15,0)</f>
        <v>0</v>
      </c>
      <c r="G15" s="24" t="str">
        <f aca="false">IFERROR(F15/B15,"")</f>
        <v/>
      </c>
      <c r="H15" s="49" t="str">
        <f aca="false">IF('1. Plano de Receita'!E16="","",'1. Plano de Receita'!E16)</f>
        <v/>
      </c>
      <c r="I15" s="48" t="str">
        <f aca="false">IFERROR(F15-H15,"")</f>
        <v/>
      </c>
      <c r="J15" s="23" t="str">
        <f aca="false">IFERROR(I15/H15,"")</f>
        <v/>
      </c>
    </row>
    <row r="16" customFormat="false" ht="15" hidden="false" customHeight="false" outlineLevel="0" collapsed="false">
      <c r="A16" s="14" t="str">
        <f aca="false">IF('1. Plano de Receita'!A17="","",'1. Plano de Receita'!A17)</f>
        <v/>
      </c>
      <c r="B16" s="44" t="str">
        <f aca="false">IF('1. Plano de Receita'!B17="","",'1. Plano de Receita'!B17)</f>
        <v/>
      </c>
      <c r="C16" s="45" t="str">
        <f aca="false">IF('1. Plano de Receita'!I17="","",'1. Plano de Receita'!I17)</f>
        <v/>
      </c>
      <c r="D16" s="46" t="str">
        <f aca="false">IF('1. Plano de Receita'!F17="","",'1. Plano de Receita'!F17)</f>
        <v/>
      </c>
      <c r="E16" s="47" t="str">
        <f aca="false">IFERROR(B16*C16,"")</f>
        <v/>
      </c>
      <c r="F16" s="48" t="n">
        <f aca="false">IFERROR(E16*D16,0)</f>
        <v>0</v>
      </c>
      <c r="G16" s="24" t="str">
        <f aca="false">IFERROR(F16/B16,"")</f>
        <v/>
      </c>
      <c r="H16" s="49" t="str">
        <f aca="false">IF('1. Plano de Receita'!E17="","",'1. Plano de Receita'!E17)</f>
        <v/>
      </c>
      <c r="I16" s="48" t="str">
        <f aca="false">IFERROR(F16-H16,"")</f>
        <v/>
      </c>
      <c r="J16" s="23" t="str">
        <f aca="false">IFERROR(I16/H16,"")</f>
        <v/>
      </c>
    </row>
    <row r="17" customFormat="false" ht="15" hidden="false" customHeight="false" outlineLevel="0" collapsed="false">
      <c r="A17" s="14" t="str">
        <f aca="false">IF('1. Plano de Receita'!A18="","",'1. Plano de Receita'!A18)</f>
        <v/>
      </c>
      <c r="B17" s="44" t="str">
        <f aca="false">IF('1. Plano de Receita'!B18="","",'1. Plano de Receita'!B18)</f>
        <v/>
      </c>
      <c r="C17" s="45" t="str">
        <f aca="false">IF('1. Plano de Receita'!I18="","",'1. Plano de Receita'!I18)</f>
        <v/>
      </c>
      <c r="D17" s="46" t="str">
        <f aca="false">IF('1. Plano de Receita'!F18="","",'1. Plano de Receita'!F18)</f>
        <v/>
      </c>
      <c r="E17" s="47" t="str">
        <f aca="false">IFERROR(B17*C17,"")</f>
        <v/>
      </c>
      <c r="F17" s="48" t="n">
        <f aca="false">IFERROR(E17*D17,0)</f>
        <v>0</v>
      </c>
      <c r="G17" s="24" t="str">
        <f aca="false">IFERROR(F17/B17,"")</f>
        <v/>
      </c>
      <c r="H17" s="49" t="str">
        <f aca="false">IF('1. Plano de Receita'!E18="","",'1. Plano de Receita'!E18)</f>
        <v/>
      </c>
      <c r="I17" s="48" t="str">
        <f aca="false">IFERROR(F17-H17,"")</f>
        <v/>
      </c>
      <c r="J17" s="23" t="str">
        <f aca="false">IFERROR(I17/H17,"")</f>
        <v/>
      </c>
    </row>
    <row r="18" customFormat="false" ht="15" hidden="false" customHeight="false" outlineLevel="0" collapsed="false">
      <c r="A18" s="14" t="str">
        <f aca="false">IF('1. Plano de Receita'!A19="","",'1. Plano de Receita'!A19)</f>
        <v/>
      </c>
      <c r="B18" s="44" t="str">
        <f aca="false">IF('1. Plano de Receita'!B19="","",'1. Plano de Receita'!B19)</f>
        <v/>
      </c>
      <c r="C18" s="45" t="str">
        <f aca="false">IF('1. Plano de Receita'!I19="","",'1. Plano de Receita'!I19)</f>
        <v/>
      </c>
      <c r="D18" s="46" t="str">
        <f aca="false">IF('1. Plano de Receita'!F19="","",'1. Plano de Receita'!F19)</f>
        <v/>
      </c>
      <c r="E18" s="47" t="str">
        <f aca="false">IFERROR(B18*C18,"")</f>
        <v/>
      </c>
      <c r="F18" s="48" t="n">
        <f aca="false">IFERROR(E18*D18,0)</f>
        <v>0</v>
      </c>
      <c r="G18" s="24" t="str">
        <f aca="false">IFERROR(F18/B18,"")</f>
        <v/>
      </c>
      <c r="H18" s="49" t="str">
        <f aca="false">IF('1. Plano de Receita'!E19="","",'1. Plano de Receita'!E19)</f>
        <v/>
      </c>
      <c r="I18" s="48" t="str">
        <f aca="false">IFERROR(F18-H18,"")</f>
        <v/>
      </c>
      <c r="J18" s="23" t="str">
        <f aca="false">IFERROR(I18/H18,"")</f>
        <v/>
      </c>
    </row>
    <row r="19" customFormat="false" ht="15" hidden="false" customHeight="false" outlineLevel="0" collapsed="false">
      <c r="A19" s="14" t="str">
        <f aca="false">IF('1. Plano de Receita'!A20="","",'1. Plano de Receita'!A20)</f>
        <v/>
      </c>
      <c r="B19" s="44" t="str">
        <f aca="false">IF('1. Plano de Receita'!B20="","",'1. Plano de Receita'!B20)</f>
        <v/>
      </c>
      <c r="C19" s="45" t="str">
        <f aca="false">IF('1. Plano de Receita'!I20="","",'1. Plano de Receita'!I20)</f>
        <v/>
      </c>
      <c r="D19" s="46" t="str">
        <f aca="false">IF('1. Plano de Receita'!F20="","",'1. Plano de Receita'!F20)</f>
        <v/>
      </c>
      <c r="E19" s="47" t="str">
        <f aca="false">IFERROR(B19*C19,"")</f>
        <v/>
      </c>
      <c r="F19" s="48" t="n">
        <f aca="false">IFERROR(E19*D19,0)</f>
        <v>0</v>
      </c>
      <c r="G19" s="24" t="str">
        <f aca="false">IFERROR(F19/B19,"")</f>
        <v/>
      </c>
      <c r="H19" s="49" t="str">
        <f aca="false">IF('1. Plano de Receita'!E20="","",'1. Plano de Receita'!E20)</f>
        <v/>
      </c>
      <c r="I19" s="48" t="str">
        <f aca="false">IFERROR(F19-H19,"")</f>
        <v/>
      </c>
      <c r="J19" s="23" t="str">
        <f aca="false">IFERROR(I19/H19,"")</f>
        <v/>
      </c>
    </row>
    <row r="20" customFormat="false" ht="15" hidden="false" customHeight="false" outlineLevel="0" collapsed="false">
      <c r="A20" s="19" t="s">
        <v>97</v>
      </c>
      <c r="B20" s="25"/>
      <c r="C20" s="50"/>
      <c r="D20" s="26"/>
      <c r="E20" s="47" t="n">
        <f aca="false">IFERROR(B20*C20,"")</f>
        <v>0</v>
      </c>
      <c r="F20" s="48" t="n">
        <f aca="false">IFERROR(E20*D20,0)</f>
        <v>0</v>
      </c>
      <c r="G20" s="24" t="str">
        <f aca="false">IFERROR(F20/B20,"")</f>
        <v/>
      </c>
      <c r="H20" s="22" t="n">
        <v>0</v>
      </c>
      <c r="I20" s="48" t="n">
        <f aca="false">IFERROR(F20-H20,"")</f>
        <v>0</v>
      </c>
      <c r="J20" s="23" t="str">
        <f aca="false">IFERROR(I20/H20,"")</f>
        <v/>
      </c>
    </row>
    <row r="21" customFormat="false" ht="15" hidden="false" customHeight="false" outlineLevel="0" collapsed="false">
      <c r="A21" s="19" t="s">
        <v>98</v>
      </c>
      <c r="B21" s="25"/>
      <c r="C21" s="50"/>
      <c r="D21" s="26"/>
      <c r="E21" s="47" t="n">
        <f aca="false">IFERROR(B21*C21,"")</f>
        <v>0</v>
      </c>
      <c r="F21" s="48" t="n">
        <f aca="false">IFERROR(E21*D21,0)</f>
        <v>0</v>
      </c>
      <c r="G21" s="24" t="str">
        <f aca="false">IFERROR(F21/B21,"")</f>
        <v/>
      </c>
      <c r="H21" s="22" t="n">
        <v>0</v>
      </c>
      <c r="I21" s="48" t="n">
        <f aca="false">IFERROR(F21-H21,"")</f>
        <v>0</v>
      </c>
      <c r="J21" s="23" t="str">
        <f aca="false">IFERROR(I21/H21,"")</f>
        <v/>
      </c>
    </row>
    <row r="22" customFormat="false" ht="15" hidden="false" customHeight="false" outlineLevel="0" collapsed="false">
      <c r="A22" s="19" t="s">
        <v>99</v>
      </c>
      <c r="B22" s="25"/>
      <c r="C22" s="50"/>
      <c r="D22" s="26"/>
      <c r="E22" s="47" t="n">
        <f aca="false">IFERROR(B22*C22,"")</f>
        <v>0</v>
      </c>
      <c r="F22" s="48" t="n">
        <f aca="false">IFERROR(E22*D22,0)</f>
        <v>0</v>
      </c>
      <c r="G22" s="24" t="str">
        <f aca="false">IFERROR(F22/B22,"")</f>
        <v/>
      </c>
      <c r="H22" s="22" t="n">
        <v>0</v>
      </c>
      <c r="I22" s="48" t="n">
        <f aca="false">IFERROR(F22-H22,"")</f>
        <v>0</v>
      </c>
      <c r="J22" s="23" t="str">
        <f aca="false">IFERROR(I22/H22,"")</f>
        <v/>
      </c>
    </row>
    <row r="23" customFormat="false" ht="15" hidden="false" customHeight="false" outlineLevel="0" collapsed="false">
      <c r="A23" s="27" t="s">
        <v>100</v>
      </c>
      <c r="B23" s="28" t="n">
        <f aca="false">SUM(B8:B22)</f>
        <v>40</v>
      </c>
      <c r="C23" s="51"/>
      <c r="D23" s="51"/>
      <c r="E23" s="52" t="n">
        <f aca="false">SUM(E8:E22)</f>
        <v>11</v>
      </c>
      <c r="F23" s="29" t="n">
        <f aca="false">SUM(F8:F22)</f>
        <v>80000</v>
      </c>
      <c r="G23" s="31" t="n">
        <f aca="false">IFERROR(F23/B23,"")</f>
        <v>2000</v>
      </c>
      <c r="H23" s="29" t="n">
        <f aca="false">SUM(H8:H22)</f>
        <v>80000</v>
      </c>
      <c r="I23" s="29" t="n">
        <f aca="false">SUM(I8:I22)</f>
        <v>0</v>
      </c>
      <c r="J23" s="30" t="n">
        <f aca="false">IFERROR(I23/H23,"")</f>
        <v>0</v>
      </c>
    </row>
    <row r="25" customFormat="false" ht="21.75" hidden="false" customHeight="true" outlineLevel="0" collapsed="false">
      <c r="A25" s="10" t="s">
        <v>101</v>
      </c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24" hidden="false" customHeight="true" outlineLevel="0" collapsed="false">
      <c r="A26" s="53" t="s">
        <v>102</v>
      </c>
      <c r="B26" s="54" t="n">
        <f aca="false">F23</f>
        <v>80000</v>
      </c>
      <c r="C26" s="54"/>
      <c r="D26" s="35" t="s">
        <v>103</v>
      </c>
      <c r="E26" s="35"/>
      <c r="F26" s="35"/>
      <c r="G26" s="35"/>
      <c r="H26" s="35"/>
      <c r="I26" s="35"/>
      <c r="J26" s="35"/>
    </row>
    <row r="27" customFormat="false" ht="24" hidden="false" customHeight="true" outlineLevel="0" collapsed="false">
      <c r="A27" s="53" t="s">
        <v>104</v>
      </c>
      <c r="B27" s="54" t="n">
        <f aca="false">C4</f>
        <v>0</v>
      </c>
      <c r="C27" s="54"/>
      <c r="D27" s="35" t="s">
        <v>105</v>
      </c>
      <c r="E27" s="35"/>
      <c r="F27" s="35"/>
      <c r="G27" s="35"/>
      <c r="H27" s="35"/>
      <c r="I27" s="35"/>
      <c r="J27" s="35"/>
    </row>
    <row r="28" customFormat="false" ht="24" hidden="false" customHeight="true" outlineLevel="0" collapsed="false">
      <c r="A28" s="53" t="s">
        <v>106</v>
      </c>
      <c r="B28" s="54" t="n">
        <f aca="false">C4-F23</f>
        <v>-80000</v>
      </c>
      <c r="C28" s="54"/>
      <c r="D28" s="35" t="s">
        <v>107</v>
      </c>
      <c r="E28" s="35"/>
      <c r="F28" s="35"/>
      <c r="G28" s="35"/>
      <c r="H28" s="35"/>
      <c r="I28" s="35"/>
      <c r="J28" s="35"/>
    </row>
    <row r="29" customFormat="false" ht="24" hidden="false" customHeight="true" outlineLevel="0" collapsed="false">
      <c r="A29" s="53" t="s">
        <v>108</v>
      </c>
      <c r="B29" s="55" t="str">
        <f aca="false">IF(C4="","Coloque a meta lá em cima",IF(C4-F23&lt;=0,"META BATIDA nessa simulação","AINDA FALTA — ajuste entradas, conversão ou ticket"))</f>
        <v>Coloque a meta lá em cima</v>
      </c>
      <c r="C29" s="55"/>
      <c r="D29" s="35" t="s">
        <v>109</v>
      </c>
      <c r="E29" s="35"/>
      <c r="F29" s="35"/>
      <c r="G29" s="35"/>
      <c r="H29" s="35"/>
      <c r="I29" s="35"/>
      <c r="J29" s="35"/>
    </row>
    <row r="30" customFormat="false" ht="24" hidden="false" customHeight="true" outlineLevel="0" collapsed="false">
      <c r="A30" s="53" t="s">
        <v>110</v>
      </c>
      <c r="B30" s="55" t="str">
        <f aca="false">IFERROR(INDEX($A$8:$A$22,MATCH(MAX($G$8:$G$22),$G$8:$G$22,0)),"")</f>
        <v>Indicação  (exemplo — apague e coloque as suas)</v>
      </c>
      <c r="C30" s="55"/>
      <c r="D30" s="35" t="s">
        <v>111</v>
      </c>
      <c r="E30" s="35"/>
      <c r="F30" s="35"/>
      <c r="G30" s="35"/>
      <c r="H30" s="35"/>
      <c r="I30" s="35"/>
      <c r="J30" s="35"/>
    </row>
    <row r="31" customFormat="false" ht="24" hidden="false" customHeight="true" outlineLevel="0" collapsed="false">
      <c r="A31" s="53" t="s">
        <v>112</v>
      </c>
      <c r="B31" s="56" t="n">
        <f aca="false">IFERROR(MAX($G$8:$G$22),"")</f>
        <v>2000</v>
      </c>
      <c r="C31" s="56"/>
      <c r="D31" s="35" t="s">
        <v>113</v>
      </c>
      <c r="E31" s="35"/>
      <c r="F31" s="35"/>
      <c r="G31" s="35"/>
      <c r="H31" s="35"/>
      <c r="I31" s="35"/>
      <c r="J31" s="35"/>
    </row>
    <row r="32" customFormat="false" ht="24" hidden="false" customHeight="true" outlineLevel="0" collapsed="false">
      <c r="A32" s="53" t="s">
        <v>114</v>
      </c>
      <c r="B32" s="57" t="str">
        <f aca="false">IF(C4="","",IF(C4-F23&lt;=0,0,IFERROR(ROUNDUP((C4-F23)/MAX($G$8:$G$22),0),"")))</f>
        <v/>
      </c>
      <c r="C32" s="57"/>
      <c r="D32" s="35" t="s">
        <v>115</v>
      </c>
      <c r="E32" s="35"/>
      <c r="F32" s="35"/>
      <c r="G32" s="35"/>
      <c r="H32" s="35"/>
      <c r="I32" s="35"/>
      <c r="J32" s="35"/>
    </row>
    <row r="34" customFormat="false" ht="21.75" hidden="false" customHeight="true" outlineLevel="0" collapsed="false">
      <c r="A34" s="5" t="s">
        <v>116</v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25.5" hidden="false" customHeight="true" outlineLevel="0" collapsed="false">
      <c r="A35" s="58" t="s">
        <v>117</v>
      </c>
      <c r="B35" s="59" t="s">
        <v>118</v>
      </c>
      <c r="C35" s="59"/>
      <c r="D35" s="59"/>
      <c r="E35" s="59"/>
      <c r="F35" s="59"/>
      <c r="G35" s="59"/>
      <c r="H35" s="59"/>
      <c r="I35" s="59"/>
      <c r="J35" s="59"/>
    </row>
    <row r="36" customFormat="false" ht="25.5" hidden="false" customHeight="true" outlineLevel="0" collapsed="false">
      <c r="A36" s="58" t="s">
        <v>119</v>
      </c>
      <c r="B36" s="59" t="s">
        <v>120</v>
      </c>
      <c r="C36" s="59"/>
      <c r="D36" s="59"/>
      <c r="E36" s="59"/>
      <c r="F36" s="59"/>
      <c r="G36" s="59"/>
      <c r="H36" s="59"/>
      <c r="I36" s="59"/>
      <c r="J36" s="59"/>
    </row>
    <row r="37" customFormat="false" ht="25.5" hidden="false" customHeight="true" outlineLevel="0" collapsed="false">
      <c r="A37" s="58" t="s">
        <v>121</v>
      </c>
      <c r="B37" s="59" t="s">
        <v>122</v>
      </c>
      <c r="C37" s="59"/>
      <c r="D37" s="59"/>
      <c r="E37" s="59"/>
      <c r="F37" s="59"/>
      <c r="G37" s="59"/>
      <c r="H37" s="59"/>
      <c r="I37" s="59"/>
      <c r="J37" s="59"/>
    </row>
  </sheetData>
  <mergeCells count="24">
    <mergeCell ref="A1:J1"/>
    <mergeCell ref="A2:J2"/>
    <mergeCell ref="A4:B4"/>
    <mergeCell ref="D4:E4"/>
    <mergeCell ref="A6:J6"/>
    <mergeCell ref="A25:J25"/>
    <mergeCell ref="B26:C26"/>
    <mergeCell ref="D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A34:J34"/>
    <mergeCell ref="B35:J35"/>
    <mergeCell ref="B36:J36"/>
    <mergeCell ref="B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14" min="3" style="0" width="12"/>
    <col collapsed="false" customWidth="true" hidden="false" outlineLevel="0" max="15" min="15" style="0" width="16"/>
  </cols>
  <sheetData>
    <row r="1" customFormat="false" ht="33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60" t="s">
        <v>125</v>
      </c>
      <c r="B4" s="60"/>
      <c r="C4" s="50" t="n">
        <v>0</v>
      </c>
      <c r="D4" s="61" t="s">
        <v>126</v>
      </c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6" customFormat="false" ht="31.5" hidden="false" customHeight="true" outlineLevel="0" collapsed="false">
      <c r="A6" s="6" t="s">
        <v>54</v>
      </c>
      <c r="B6" s="6" t="s">
        <v>127</v>
      </c>
      <c r="C6" s="6" t="s">
        <v>128</v>
      </c>
      <c r="D6" s="6" t="s">
        <v>129</v>
      </c>
      <c r="E6" s="6" t="s">
        <v>130</v>
      </c>
      <c r="F6" s="6" t="s">
        <v>131</v>
      </c>
      <c r="G6" s="6" t="s">
        <v>132</v>
      </c>
      <c r="H6" s="6" t="s">
        <v>133</v>
      </c>
      <c r="I6" s="6" t="s">
        <v>134</v>
      </c>
      <c r="J6" s="6" t="s">
        <v>135</v>
      </c>
      <c r="K6" s="6" t="s">
        <v>136</v>
      </c>
      <c r="L6" s="6" t="s">
        <v>137</v>
      </c>
      <c r="M6" s="6" t="s">
        <v>138</v>
      </c>
      <c r="N6" s="6" t="s">
        <v>139</v>
      </c>
      <c r="O6" s="6" t="s">
        <v>140</v>
      </c>
    </row>
    <row r="7" customFormat="false" ht="15" hidden="false" customHeight="false" outlineLevel="0" collapsed="false">
      <c r="A7" s="14" t="str">
        <f aca="false">IF('2. Simulador de Meta'!A8="","",'2. Simulador de Meta'!A8)</f>
        <v>Indicação  (exemplo — apague e coloque as suas)</v>
      </c>
      <c r="B7" s="50" t="n">
        <f aca="false">$C$4</f>
        <v>0</v>
      </c>
      <c r="C7" s="49" t="n">
        <f aca="false">'2. Simulador de Meta'!F8</f>
        <v>80000</v>
      </c>
      <c r="D7" s="48" t="n">
        <f aca="false">C7*(1+$B7)</f>
        <v>80000</v>
      </c>
      <c r="E7" s="48" t="n">
        <f aca="false">D7*(1+$B7)</f>
        <v>80000</v>
      </c>
      <c r="F7" s="48" t="n">
        <f aca="false">E7*(1+$B7)</f>
        <v>80000</v>
      </c>
      <c r="G7" s="48" t="n">
        <f aca="false">F7*(1+$B7)</f>
        <v>80000</v>
      </c>
      <c r="H7" s="48" t="n">
        <f aca="false">G7*(1+$B7)</f>
        <v>80000</v>
      </c>
      <c r="I7" s="48" t="n">
        <f aca="false">H7*(1+$B7)</f>
        <v>80000</v>
      </c>
      <c r="J7" s="48" t="n">
        <f aca="false">I7*(1+$B7)</f>
        <v>80000</v>
      </c>
      <c r="K7" s="48" t="n">
        <f aca="false">J7*(1+$B7)</f>
        <v>80000</v>
      </c>
      <c r="L7" s="48" t="n">
        <f aca="false">K7*(1+$B7)</f>
        <v>80000</v>
      </c>
      <c r="M7" s="48" t="n">
        <f aca="false">L7*(1+$B7)</f>
        <v>80000</v>
      </c>
      <c r="N7" s="48" t="n">
        <f aca="false">M7*(1+$B7)</f>
        <v>80000</v>
      </c>
      <c r="O7" s="62" t="n">
        <f aca="false">SUM(C7:N7)</f>
        <v>960000</v>
      </c>
    </row>
    <row r="8" customFormat="false" ht="15" hidden="false" customHeight="false" outlineLevel="0" collapsed="false">
      <c r="A8" s="14" t="str">
        <f aca="false">IF('2. Simulador de Meta'!A9="","",'2. Simulador de Meta'!A9)</f>
        <v/>
      </c>
      <c r="B8" s="50" t="n">
        <f aca="false">$C$4</f>
        <v>0</v>
      </c>
      <c r="C8" s="49" t="n">
        <f aca="false">'2. Simulador de Meta'!F9</f>
        <v>0</v>
      </c>
      <c r="D8" s="48" t="n">
        <f aca="false">C8*(1+$B8)</f>
        <v>0</v>
      </c>
      <c r="E8" s="48" t="n">
        <f aca="false">D8*(1+$B8)</f>
        <v>0</v>
      </c>
      <c r="F8" s="48" t="n">
        <f aca="false">E8*(1+$B8)</f>
        <v>0</v>
      </c>
      <c r="G8" s="48" t="n">
        <f aca="false">F8*(1+$B8)</f>
        <v>0</v>
      </c>
      <c r="H8" s="48" t="n">
        <f aca="false">G8*(1+$B8)</f>
        <v>0</v>
      </c>
      <c r="I8" s="48" t="n">
        <f aca="false">H8*(1+$B8)</f>
        <v>0</v>
      </c>
      <c r="J8" s="48" t="n">
        <f aca="false">I8*(1+$B8)</f>
        <v>0</v>
      </c>
      <c r="K8" s="48" t="n">
        <f aca="false">J8*(1+$B8)</f>
        <v>0</v>
      </c>
      <c r="L8" s="48" t="n">
        <f aca="false">K8*(1+$B8)</f>
        <v>0</v>
      </c>
      <c r="M8" s="48" t="n">
        <f aca="false">L8*(1+$B8)</f>
        <v>0</v>
      </c>
      <c r="N8" s="48" t="n">
        <f aca="false">M8*(1+$B8)</f>
        <v>0</v>
      </c>
      <c r="O8" s="62" t="n">
        <f aca="false">SUM(C8:N8)</f>
        <v>0</v>
      </c>
    </row>
    <row r="9" customFormat="false" ht="15" hidden="false" customHeight="false" outlineLevel="0" collapsed="false">
      <c r="A9" s="14" t="str">
        <f aca="false">IF('2. Simulador de Meta'!A10="","",'2. Simulador de Meta'!A10)</f>
        <v/>
      </c>
      <c r="B9" s="50" t="n">
        <f aca="false">$C$4</f>
        <v>0</v>
      </c>
      <c r="C9" s="49" t="n">
        <f aca="false">'2. Simulador de Meta'!F10</f>
        <v>0</v>
      </c>
      <c r="D9" s="48" t="n">
        <f aca="false">C9*(1+$B9)</f>
        <v>0</v>
      </c>
      <c r="E9" s="48" t="n">
        <f aca="false">D9*(1+$B9)</f>
        <v>0</v>
      </c>
      <c r="F9" s="48" t="n">
        <f aca="false">E9*(1+$B9)</f>
        <v>0</v>
      </c>
      <c r="G9" s="48" t="n">
        <f aca="false">F9*(1+$B9)</f>
        <v>0</v>
      </c>
      <c r="H9" s="48" t="n">
        <f aca="false">G9*(1+$B9)</f>
        <v>0</v>
      </c>
      <c r="I9" s="48" t="n">
        <f aca="false">H9*(1+$B9)</f>
        <v>0</v>
      </c>
      <c r="J9" s="48" t="n">
        <f aca="false">I9*(1+$B9)</f>
        <v>0</v>
      </c>
      <c r="K9" s="48" t="n">
        <f aca="false">J9*(1+$B9)</f>
        <v>0</v>
      </c>
      <c r="L9" s="48" t="n">
        <f aca="false">K9*(1+$B9)</f>
        <v>0</v>
      </c>
      <c r="M9" s="48" t="n">
        <f aca="false">L9*(1+$B9)</f>
        <v>0</v>
      </c>
      <c r="N9" s="48" t="n">
        <f aca="false">M9*(1+$B9)</f>
        <v>0</v>
      </c>
      <c r="O9" s="62" t="n">
        <f aca="false">SUM(C9:N9)</f>
        <v>0</v>
      </c>
    </row>
    <row r="10" customFormat="false" ht="15" hidden="false" customHeight="false" outlineLevel="0" collapsed="false">
      <c r="A10" s="14" t="str">
        <f aca="false">IF('2. Simulador de Meta'!A11="","",'2. Simulador de Meta'!A11)</f>
        <v/>
      </c>
      <c r="B10" s="50" t="n">
        <f aca="false">$C$4</f>
        <v>0</v>
      </c>
      <c r="C10" s="49" t="n">
        <f aca="false">'2. Simulador de Meta'!F11</f>
        <v>0</v>
      </c>
      <c r="D10" s="48" t="n">
        <f aca="false">C10*(1+$B10)</f>
        <v>0</v>
      </c>
      <c r="E10" s="48" t="n">
        <f aca="false">D10*(1+$B10)</f>
        <v>0</v>
      </c>
      <c r="F10" s="48" t="n">
        <f aca="false">E10*(1+$B10)</f>
        <v>0</v>
      </c>
      <c r="G10" s="48" t="n">
        <f aca="false">F10*(1+$B10)</f>
        <v>0</v>
      </c>
      <c r="H10" s="48" t="n">
        <f aca="false">G10*(1+$B10)</f>
        <v>0</v>
      </c>
      <c r="I10" s="48" t="n">
        <f aca="false">H10*(1+$B10)</f>
        <v>0</v>
      </c>
      <c r="J10" s="48" t="n">
        <f aca="false">I10*(1+$B10)</f>
        <v>0</v>
      </c>
      <c r="K10" s="48" t="n">
        <f aca="false">J10*(1+$B10)</f>
        <v>0</v>
      </c>
      <c r="L10" s="48" t="n">
        <f aca="false">K10*(1+$B10)</f>
        <v>0</v>
      </c>
      <c r="M10" s="48" t="n">
        <f aca="false">L10*(1+$B10)</f>
        <v>0</v>
      </c>
      <c r="N10" s="48" t="n">
        <f aca="false">M10*(1+$B10)</f>
        <v>0</v>
      </c>
      <c r="O10" s="62" t="n">
        <f aca="false">SUM(C10:N10)</f>
        <v>0</v>
      </c>
    </row>
    <row r="11" customFormat="false" ht="15" hidden="false" customHeight="false" outlineLevel="0" collapsed="false">
      <c r="A11" s="14" t="str">
        <f aca="false">IF('2. Simulador de Meta'!A12="","",'2. Simulador de Meta'!A12)</f>
        <v/>
      </c>
      <c r="B11" s="50" t="n">
        <f aca="false">$C$4</f>
        <v>0</v>
      </c>
      <c r="C11" s="49" t="n">
        <f aca="false">'2. Simulador de Meta'!F12</f>
        <v>0</v>
      </c>
      <c r="D11" s="48" t="n">
        <f aca="false">C11*(1+$B11)</f>
        <v>0</v>
      </c>
      <c r="E11" s="48" t="n">
        <f aca="false">D11*(1+$B11)</f>
        <v>0</v>
      </c>
      <c r="F11" s="48" t="n">
        <f aca="false">E11*(1+$B11)</f>
        <v>0</v>
      </c>
      <c r="G11" s="48" t="n">
        <f aca="false">F11*(1+$B11)</f>
        <v>0</v>
      </c>
      <c r="H11" s="48" t="n">
        <f aca="false">G11*(1+$B11)</f>
        <v>0</v>
      </c>
      <c r="I11" s="48" t="n">
        <f aca="false">H11*(1+$B11)</f>
        <v>0</v>
      </c>
      <c r="J11" s="48" t="n">
        <f aca="false">I11*(1+$B11)</f>
        <v>0</v>
      </c>
      <c r="K11" s="48" t="n">
        <f aca="false">J11*(1+$B11)</f>
        <v>0</v>
      </c>
      <c r="L11" s="48" t="n">
        <f aca="false">K11*(1+$B11)</f>
        <v>0</v>
      </c>
      <c r="M11" s="48" t="n">
        <f aca="false">L11*(1+$B11)</f>
        <v>0</v>
      </c>
      <c r="N11" s="48" t="n">
        <f aca="false">M11*(1+$B11)</f>
        <v>0</v>
      </c>
      <c r="O11" s="62" t="n">
        <f aca="false">SUM(C11:N11)</f>
        <v>0</v>
      </c>
    </row>
    <row r="12" customFormat="false" ht="15" hidden="false" customHeight="false" outlineLevel="0" collapsed="false">
      <c r="A12" s="14" t="str">
        <f aca="false">IF('2. Simulador de Meta'!A13="","",'2. Simulador de Meta'!A13)</f>
        <v/>
      </c>
      <c r="B12" s="50" t="n">
        <f aca="false">$C$4</f>
        <v>0</v>
      </c>
      <c r="C12" s="49" t="n">
        <f aca="false">'2. Simulador de Meta'!F13</f>
        <v>0</v>
      </c>
      <c r="D12" s="48" t="n">
        <f aca="false">C12*(1+$B12)</f>
        <v>0</v>
      </c>
      <c r="E12" s="48" t="n">
        <f aca="false">D12*(1+$B12)</f>
        <v>0</v>
      </c>
      <c r="F12" s="48" t="n">
        <f aca="false">E12*(1+$B12)</f>
        <v>0</v>
      </c>
      <c r="G12" s="48" t="n">
        <f aca="false">F12*(1+$B12)</f>
        <v>0</v>
      </c>
      <c r="H12" s="48" t="n">
        <f aca="false">G12*(1+$B12)</f>
        <v>0</v>
      </c>
      <c r="I12" s="48" t="n">
        <f aca="false">H12*(1+$B12)</f>
        <v>0</v>
      </c>
      <c r="J12" s="48" t="n">
        <f aca="false">I12*(1+$B12)</f>
        <v>0</v>
      </c>
      <c r="K12" s="48" t="n">
        <f aca="false">J12*(1+$B12)</f>
        <v>0</v>
      </c>
      <c r="L12" s="48" t="n">
        <f aca="false">K12*(1+$B12)</f>
        <v>0</v>
      </c>
      <c r="M12" s="48" t="n">
        <f aca="false">L12*(1+$B12)</f>
        <v>0</v>
      </c>
      <c r="N12" s="48" t="n">
        <f aca="false">M12*(1+$B12)</f>
        <v>0</v>
      </c>
      <c r="O12" s="62" t="n">
        <f aca="false">SUM(C12:N12)</f>
        <v>0</v>
      </c>
    </row>
    <row r="13" customFormat="false" ht="15" hidden="false" customHeight="false" outlineLevel="0" collapsed="false">
      <c r="A13" s="14" t="str">
        <f aca="false">IF('2. Simulador de Meta'!A14="","",'2. Simulador de Meta'!A14)</f>
        <v/>
      </c>
      <c r="B13" s="50" t="n">
        <f aca="false">$C$4</f>
        <v>0</v>
      </c>
      <c r="C13" s="49" t="n">
        <f aca="false">'2. Simulador de Meta'!F14</f>
        <v>0</v>
      </c>
      <c r="D13" s="48" t="n">
        <f aca="false">C13*(1+$B13)</f>
        <v>0</v>
      </c>
      <c r="E13" s="48" t="n">
        <f aca="false">D13*(1+$B13)</f>
        <v>0</v>
      </c>
      <c r="F13" s="48" t="n">
        <f aca="false">E13*(1+$B13)</f>
        <v>0</v>
      </c>
      <c r="G13" s="48" t="n">
        <f aca="false">F13*(1+$B13)</f>
        <v>0</v>
      </c>
      <c r="H13" s="48" t="n">
        <f aca="false">G13*(1+$B13)</f>
        <v>0</v>
      </c>
      <c r="I13" s="48" t="n">
        <f aca="false">H13*(1+$B13)</f>
        <v>0</v>
      </c>
      <c r="J13" s="48" t="n">
        <f aca="false">I13*(1+$B13)</f>
        <v>0</v>
      </c>
      <c r="K13" s="48" t="n">
        <f aca="false">J13*(1+$B13)</f>
        <v>0</v>
      </c>
      <c r="L13" s="48" t="n">
        <f aca="false">K13*(1+$B13)</f>
        <v>0</v>
      </c>
      <c r="M13" s="48" t="n">
        <f aca="false">L13*(1+$B13)</f>
        <v>0</v>
      </c>
      <c r="N13" s="48" t="n">
        <f aca="false">M13*(1+$B13)</f>
        <v>0</v>
      </c>
      <c r="O13" s="62" t="n">
        <f aca="false">SUM(C13:N13)</f>
        <v>0</v>
      </c>
    </row>
    <row r="14" customFormat="false" ht="15" hidden="false" customHeight="false" outlineLevel="0" collapsed="false">
      <c r="A14" s="14" t="str">
        <f aca="false">IF('2. Simulador de Meta'!A15="","",'2. Simulador de Meta'!A15)</f>
        <v/>
      </c>
      <c r="B14" s="50" t="n">
        <f aca="false">$C$4</f>
        <v>0</v>
      </c>
      <c r="C14" s="49" t="n">
        <f aca="false">'2. Simulador de Meta'!F15</f>
        <v>0</v>
      </c>
      <c r="D14" s="48" t="n">
        <f aca="false">C14*(1+$B14)</f>
        <v>0</v>
      </c>
      <c r="E14" s="48" t="n">
        <f aca="false">D14*(1+$B14)</f>
        <v>0</v>
      </c>
      <c r="F14" s="48" t="n">
        <f aca="false">E14*(1+$B14)</f>
        <v>0</v>
      </c>
      <c r="G14" s="48" t="n">
        <f aca="false">F14*(1+$B14)</f>
        <v>0</v>
      </c>
      <c r="H14" s="48" t="n">
        <f aca="false">G14*(1+$B14)</f>
        <v>0</v>
      </c>
      <c r="I14" s="48" t="n">
        <f aca="false">H14*(1+$B14)</f>
        <v>0</v>
      </c>
      <c r="J14" s="48" t="n">
        <f aca="false">I14*(1+$B14)</f>
        <v>0</v>
      </c>
      <c r="K14" s="48" t="n">
        <f aca="false">J14*(1+$B14)</f>
        <v>0</v>
      </c>
      <c r="L14" s="48" t="n">
        <f aca="false">K14*(1+$B14)</f>
        <v>0</v>
      </c>
      <c r="M14" s="48" t="n">
        <f aca="false">L14*(1+$B14)</f>
        <v>0</v>
      </c>
      <c r="N14" s="48" t="n">
        <f aca="false">M14*(1+$B14)</f>
        <v>0</v>
      </c>
      <c r="O14" s="62" t="n">
        <f aca="false">SUM(C14:N14)</f>
        <v>0</v>
      </c>
    </row>
    <row r="15" customFormat="false" ht="15" hidden="false" customHeight="false" outlineLevel="0" collapsed="false">
      <c r="A15" s="14" t="str">
        <f aca="false">IF('2. Simulador de Meta'!A16="","",'2. Simulador de Meta'!A16)</f>
        <v/>
      </c>
      <c r="B15" s="50" t="n">
        <f aca="false">$C$4</f>
        <v>0</v>
      </c>
      <c r="C15" s="49" t="n">
        <f aca="false">'2. Simulador de Meta'!F16</f>
        <v>0</v>
      </c>
      <c r="D15" s="48" t="n">
        <f aca="false">C15*(1+$B15)</f>
        <v>0</v>
      </c>
      <c r="E15" s="48" t="n">
        <f aca="false">D15*(1+$B15)</f>
        <v>0</v>
      </c>
      <c r="F15" s="48" t="n">
        <f aca="false">E15*(1+$B15)</f>
        <v>0</v>
      </c>
      <c r="G15" s="48" t="n">
        <f aca="false">F15*(1+$B15)</f>
        <v>0</v>
      </c>
      <c r="H15" s="48" t="n">
        <f aca="false">G15*(1+$B15)</f>
        <v>0</v>
      </c>
      <c r="I15" s="48" t="n">
        <f aca="false">H15*(1+$B15)</f>
        <v>0</v>
      </c>
      <c r="J15" s="48" t="n">
        <f aca="false">I15*(1+$B15)</f>
        <v>0</v>
      </c>
      <c r="K15" s="48" t="n">
        <f aca="false">J15*(1+$B15)</f>
        <v>0</v>
      </c>
      <c r="L15" s="48" t="n">
        <f aca="false">K15*(1+$B15)</f>
        <v>0</v>
      </c>
      <c r="M15" s="48" t="n">
        <f aca="false">L15*(1+$B15)</f>
        <v>0</v>
      </c>
      <c r="N15" s="48" t="n">
        <f aca="false">M15*(1+$B15)</f>
        <v>0</v>
      </c>
      <c r="O15" s="62" t="n">
        <f aca="false">SUM(C15:N15)</f>
        <v>0</v>
      </c>
    </row>
    <row r="16" customFormat="false" ht="15" hidden="false" customHeight="false" outlineLevel="0" collapsed="false">
      <c r="A16" s="14" t="str">
        <f aca="false">IF('2. Simulador de Meta'!A17="","",'2. Simulador de Meta'!A17)</f>
        <v/>
      </c>
      <c r="B16" s="50" t="n">
        <f aca="false">$C$4</f>
        <v>0</v>
      </c>
      <c r="C16" s="49" t="n">
        <f aca="false">'2. Simulador de Meta'!F17</f>
        <v>0</v>
      </c>
      <c r="D16" s="48" t="n">
        <f aca="false">C16*(1+$B16)</f>
        <v>0</v>
      </c>
      <c r="E16" s="48" t="n">
        <f aca="false">D16*(1+$B16)</f>
        <v>0</v>
      </c>
      <c r="F16" s="48" t="n">
        <f aca="false">E16*(1+$B16)</f>
        <v>0</v>
      </c>
      <c r="G16" s="48" t="n">
        <f aca="false">F16*(1+$B16)</f>
        <v>0</v>
      </c>
      <c r="H16" s="48" t="n">
        <f aca="false">G16*(1+$B16)</f>
        <v>0</v>
      </c>
      <c r="I16" s="48" t="n">
        <f aca="false">H16*(1+$B16)</f>
        <v>0</v>
      </c>
      <c r="J16" s="48" t="n">
        <f aca="false">I16*(1+$B16)</f>
        <v>0</v>
      </c>
      <c r="K16" s="48" t="n">
        <f aca="false">J16*(1+$B16)</f>
        <v>0</v>
      </c>
      <c r="L16" s="48" t="n">
        <f aca="false">K16*(1+$B16)</f>
        <v>0</v>
      </c>
      <c r="M16" s="48" t="n">
        <f aca="false">L16*(1+$B16)</f>
        <v>0</v>
      </c>
      <c r="N16" s="48" t="n">
        <f aca="false">M16*(1+$B16)</f>
        <v>0</v>
      </c>
      <c r="O16" s="62" t="n">
        <f aca="false">SUM(C16:N16)</f>
        <v>0</v>
      </c>
    </row>
    <row r="17" customFormat="false" ht="15" hidden="false" customHeight="false" outlineLevel="0" collapsed="false">
      <c r="A17" s="14" t="str">
        <f aca="false">IF('2. Simulador de Meta'!A18="","",'2. Simulador de Meta'!A18)</f>
        <v/>
      </c>
      <c r="B17" s="50" t="n">
        <f aca="false">$C$4</f>
        <v>0</v>
      </c>
      <c r="C17" s="49" t="n">
        <f aca="false">'2. Simulador de Meta'!F18</f>
        <v>0</v>
      </c>
      <c r="D17" s="48" t="n">
        <f aca="false">C17*(1+$B17)</f>
        <v>0</v>
      </c>
      <c r="E17" s="48" t="n">
        <f aca="false">D17*(1+$B17)</f>
        <v>0</v>
      </c>
      <c r="F17" s="48" t="n">
        <f aca="false">E17*(1+$B17)</f>
        <v>0</v>
      </c>
      <c r="G17" s="48" t="n">
        <f aca="false">F17*(1+$B17)</f>
        <v>0</v>
      </c>
      <c r="H17" s="48" t="n">
        <f aca="false">G17*(1+$B17)</f>
        <v>0</v>
      </c>
      <c r="I17" s="48" t="n">
        <f aca="false">H17*(1+$B17)</f>
        <v>0</v>
      </c>
      <c r="J17" s="48" t="n">
        <f aca="false">I17*(1+$B17)</f>
        <v>0</v>
      </c>
      <c r="K17" s="48" t="n">
        <f aca="false">J17*(1+$B17)</f>
        <v>0</v>
      </c>
      <c r="L17" s="48" t="n">
        <f aca="false">K17*(1+$B17)</f>
        <v>0</v>
      </c>
      <c r="M17" s="48" t="n">
        <f aca="false">L17*(1+$B17)</f>
        <v>0</v>
      </c>
      <c r="N17" s="48" t="n">
        <f aca="false">M17*(1+$B17)</f>
        <v>0</v>
      </c>
      <c r="O17" s="62" t="n">
        <f aca="false">SUM(C17:N17)</f>
        <v>0</v>
      </c>
    </row>
    <row r="18" customFormat="false" ht="15" hidden="false" customHeight="false" outlineLevel="0" collapsed="false">
      <c r="A18" s="14" t="str">
        <f aca="false">IF('2. Simulador de Meta'!A19="","",'2. Simulador de Meta'!A19)</f>
        <v/>
      </c>
      <c r="B18" s="50" t="n">
        <f aca="false">$C$4</f>
        <v>0</v>
      </c>
      <c r="C18" s="49" t="n">
        <f aca="false">'2. Simulador de Meta'!F19</f>
        <v>0</v>
      </c>
      <c r="D18" s="48" t="n">
        <f aca="false">C18*(1+$B18)</f>
        <v>0</v>
      </c>
      <c r="E18" s="48" t="n">
        <f aca="false">D18*(1+$B18)</f>
        <v>0</v>
      </c>
      <c r="F18" s="48" t="n">
        <f aca="false">E18*(1+$B18)</f>
        <v>0</v>
      </c>
      <c r="G18" s="48" t="n">
        <f aca="false">F18*(1+$B18)</f>
        <v>0</v>
      </c>
      <c r="H18" s="48" t="n">
        <f aca="false">G18*(1+$B18)</f>
        <v>0</v>
      </c>
      <c r="I18" s="48" t="n">
        <f aca="false">H18*(1+$B18)</f>
        <v>0</v>
      </c>
      <c r="J18" s="48" t="n">
        <f aca="false">I18*(1+$B18)</f>
        <v>0</v>
      </c>
      <c r="K18" s="48" t="n">
        <f aca="false">J18*(1+$B18)</f>
        <v>0</v>
      </c>
      <c r="L18" s="48" t="n">
        <f aca="false">K18*(1+$B18)</f>
        <v>0</v>
      </c>
      <c r="M18" s="48" t="n">
        <f aca="false">L18*(1+$B18)</f>
        <v>0</v>
      </c>
      <c r="N18" s="48" t="n">
        <f aca="false">M18*(1+$B18)</f>
        <v>0</v>
      </c>
      <c r="O18" s="62" t="n">
        <f aca="false">SUM(C18:N18)</f>
        <v>0</v>
      </c>
    </row>
    <row r="19" customFormat="false" ht="15" hidden="false" customHeight="false" outlineLevel="0" collapsed="false">
      <c r="A19" s="14" t="str">
        <f aca="false">IF('2. Simulador de Meta'!A20="","",'2. Simulador de Meta'!A20)</f>
        <v>Canal novo 1  (escreva aqui)</v>
      </c>
      <c r="B19" s="50" t="n">
        <f aca="false">$C$4</f>
        <v>0</v>
      </c>
      <c r="C19" s="49" t="n">
        <f aca="false">'2. Simulador de Meta'!F20</f>
        <v>0</v>
      </c>
      <c r="D19" s="48" t="n">
        <f aca="false">C19*(1+$B19)</f>
        <v>0</v>
      </c>
      <c r="E19" s="48" t="n">
        <f aca="false">D19*(1+$B19)</f>
        <v>0</v>
      </c>
      <c r="F19" s="48" t="n">
        <f aca="false">E19*(1+$B19)</f>
        <v>0</v>
      </c>
      <c r="G19" s="48" t="n">
        <f aca="false">F19*(1+$B19)</f>
        <v>0</v>
      </c>
      <c r="H19" s="48" t="n">
        <f aca="false">G19*(1+$B19)</f>
        <v>0</v>
      </c>
      <c r="I19" s="48" t="n">
        <f aca="false">H19*(1+$B19)</f>
        <v>0</v>
      </c>
      <c r="J19" s="48" t="n">
        <f aca="false">I19*(1+$B19)</f>
        <v>0</v>
      </c>
      <c r="K19" s="48" t="n">
        <f aca="false">J19*(1+$B19)</f>
        <v>0</v>
      </c>
      <c r="L19" s="48" t="n">
        <f aca="false">K19*(1+$B19)</f>
        <v>0</v>
      </c>
      <c r="M19" s="48" t="n">
        <f aca="false">L19*(1+$B19)</f>
        <v>0</v>
      </c>
      <c r="N19" s="48" t="n">
        <f aca="false">M19*(1+$B19)</f>
        <v>0</v>
      </c>
      <c r="O19" s="62" t="n">
        <f aca="false">SUM(C19:N19)</f>
        <v>0</v>
      </c>
    </row>
    <row r="20" customFormat="false" ht="15" hidden="false" customHeight="false" outlineLevel="0" collapsed="false">
      <c r="A20" s="14" t="str">
        <f aca="false">IF('2. Simulador de Meta'!A21="","",'2. Simulador de Meta'!A21)</f>
        <v>Canal novo 2  (escreva aqui)</v>
      </c>
      <c r="B20" s="50" t="n">
        <f aca="false">$C$4</f>
        <v>0</v>
      </c>
      <c r="C20" s="49" t="n">
        <f aca="false">'2. Simulador de Meta'!F21</f>
        <v>0</v>
      </c>
      <c r="D20" s="48" t="n">
        <f aca="false">C20*(1+$B20)</f>
        <v>0</v>
      </c>
      <c r="E20" s="48" t="n">
        <f aca="false">D20*(1+$B20)</f>
        <v>0</v>
      </c>
      <c r="F20" s="48" t="n">
        <f aca="false">E20*(1+$B20)</f>
        <v>0</v>
      </c>
      <c r="G20" s="48" t="n">
        <f aca="false">F20*(1+$B20)</f>
        <v>0</v>
      </c>
      <c r="H20" s="48" t="n">
        <f aca="false">G20*(1+$B20)</f>
        <v>0</v>
      </c>
      <c r="I20" s="48" t="n">
        <f aca="false">H20*(1+$B20)</f>
        <v>0</v>
      </c>
      <c r="J20" s="48" t="n">
        <f aca="false">I20*(1+$B20)</f>
        <v>0</v>
      </c>
      <c r="K20" s="48" t="n">
        <f aca="false">J20*(1+$B20)</f>
        <v>0</v>
      </c>
      <c r="L20" s="48" t="n">
        <f aca="false">K20*(1+$B20)</f>
        <v>0</v>
      </c>
      <c r="M20" s="48" t="n">
        <f aca="false">L20*(1+$B20)</f>
        <v>0</v>
      </c>
      <c r="N20" s="48" t="n">
        <f aca="false">M20*(1+$B20)</f>
        <v>0</v>
      </c>
      <c r="O20" s="62" t="n">
        <f aca="false">SUM(C20:N20)</f>
        <v>0</v>
      </c>
    </row>
    <row r="21" customFormat="false" ht="15" hidden="false" customHeight="false" outlineLevel="0" collapsed="false">
      <c r="A21" s="14" t="str">
        <f aca="false">IF('2. Simulador de Meta'!A22="","",'2. Simulador de Meta'!A22)</f>
        <v>Canal novo 3  (escreva aqui)</v>
      </c>
      <c r="B21" s="50" t="n">
        <f aca="false">$C$4</f>
        <v>0</v>
      </c>
      <c r="C21" s="49" t="n">
        <f aca="false">'2. Simulador de Meta'!F22</f>
        <v>0</v>
      </c>
      <c r="D21" s="48" t="n">
        <f aca="false">C21*(1+$B21)</f>
        <v>0</v>
      </c>
      <c r="E21" s="48" t="n">
        <f aca="false">D21*(1+$B21)</f>
        <v>0</v>
      </c>
      <c r="F21" s="48" t="n">
        <f aca="false">E21*(1+$B21)</f>
        <v>0</v>
      </c>
      <c r="G21" s="48" t="n">
        <f aca="false">F21*(1+$B21)</f>
        <v>0</v>
      </c>
      <c r="H21" s="48" t="n">
        <f aca="false">G21*(1+$B21)</f>
        <v>0</v>
      </c>
      <c r="I21" s="48" t="n">
        <f aca="false">H21*(1+$B21)</f>
        <v>0</v>
      </c>
      <c r="J21" s="48" t="n">
        <f aca="false">I21*(1+$B21)</f>
        <v>0</v>
      </c>
      <c r="K21" s="48" t="n">
        <f aca="false">J21*(1+$B21)</f>
        <v>0</v>
      </c>
      <c r="L21" s="48" t="n">
        <f aca="false">K21*(1+$B21)</f>
        <v>0</v>
      </c>
      <c r="M21" s="48" t="n">
        <f aca="false">L21*(1+$B21)</f>
        <v>0</v>
      </c>
      <c r="N21" s="48" t="n">
        <f aca="false">M21*(1+$B21)</f>
        <v>0</v>
      </c>
      <c r="O21" s="62" t="n">
        <f aca="false">SUM(C21:N21)</f>
        <v>0</v>
      </c>
    </row>
    <row r="22" customFormat="false" ht="15" hidden="false" customHeight="false" outlineLevel="0" collapsed="false">
      <c r="A22" s="27" t="s">
        <v>66</v>
      </c>
      <c r="B22" s="51"/>
      <c r="C22" s="29" t="n">
        <f aca="false">SUM(C7:C21)</f>
        <v>80000</v>
      </c>
      <c r="D22" s="29" t="n">
        <f aca="false">SUM(D7:D21)</f>
        <v>80000</v>
      </c>
      <c r="E22" s="29" t="n">
        <f aca="false">SUM(E7:E21)</f>
        <v>80000</v>
      </c>
      <c r="F22" s="29" t="n">
        <f aca="false">SUM(F7:F21)</f>
        <v>80000</v>
      </c>
      <c r="G22" s="29" t="n">
        <f aca="false">SUM(G7:G21)</f>
        <v>80000</v>
      </c>
      <c r="H22" s="29" t="n">
        <f aca="false">SUM(H7:H21)</f>
        <v>80000</v>
      </c>
      <c r="I22" s="29" t="n">
        <f aca="false">SUM(I7:I21)</f>
        <v>80000</v>
      </c>
      <c r="J22" s="29" t="n">
        <f aca="false">SUM(J7:J21)</f>
        <v>80000</v>
      </c>
      <c r="K22" s="29" t="n">
        <f aca="false">SUM(K7:K21)</f>
        <v>80000</v>
      </c>
      <c r="L22" s="29" t="n">
        <f aca="false">SUM(L7:L21)</f>
        <v>80000</v>
      </c>
      <c r="M22" s="29" t="n">
        <f aca="false">SUM(M7:M21)</f>
        <v>80000</v>
      </c>
      <c r="N22" s="29" t="n">
        <f aca="false">SUM(N7:N21)</f>
        <v>80000</v>
      </c>
      <c r="O22" s="29" t="n">
        <f aca="false">SUM(O7:O21)</f>
        <v>960000</v>
      </c>
    </row>
    <row r="24" customFormat="false" ht="21.75" hidden="false" customHeight="true" outlineLevel="0" collapsed="false">
      <c r="A24" s="10" t="s">
        <v>141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15.75" hidden="false" customHeight="true" outlineLevel="0" collapsed="false">
      <c r="A25" s="3" t="s">
        <v>142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27.75" hidden="false" customHeight="true" outlineLevel="0" collapsed="false">
      <c r="A26" s="3" t="s">
        <v>143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27.75" hidden="false" customHeight="true" outlineLevel="0" collapsed="false">
      <c r="A27" s="3" t="s">
        <v>144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5.75" hidden="false" customHeight="true" outlineLevel="0" collapsed="false">
      <c r="A28" s="3" t="s">
        <v>145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</sheetData>
  <mergeCells count="9">
    <mergeCell ref="A1:O1"/>
    <mergeCell ref="A2:O2"/>
    <mergeCell ref="A4:B4"/>
    <mergeCell ref="D4:O4"/>
    <mergeCell ref="A24:O24"/>
    <mergeCell ref="A25:O25"/>
    <mergeCell ref="A26:O26"/>
    <mergeCell ref="A27:O27"/>
    <mergeCell ref="A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2"/>
  </cols>
  <sheetData>
    <row r="1" customFormat="false" ht="33.75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A4" s="5" t="s">
        <v>148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31.5" hidden="false" customHeight="true" outlineLevel="0" collapsed="false">
      <c r="A5" s="6" t="s">
        <v>54</v>
      </c>
      <c r="B5" s="6" t="s">
        <v>128</v>
      </c>
      <c r="C5" s="6" t="s">
        <v>129</v>
      </c>
      <c r="D5" s="6" t="s">
        <v>130</v>
      </c>
      <c r="E5" s="6" t="s">
        <v>131</v>
      </c>
      <c r="F5" s="6" t="s">
        <v>132</v>
      </c>
      <c r="G5" s="6" t="s">
        <v>133</v>
      </c>
      <c r="H5" s="6" t="s">
        <v>134</v>
      </c>
      <c r="I5" s="6" t="s">
        <v>135</v>
      </c>
      <c r="J5" s="6" t="s">
        <v>136</v>
      </c>
      <c r="K5" s="6" t="s">
        <v>137</v>
      </c>
      <c r="L5" s="6" t="s">
        <v>138</v>
      </c>
      <c r="M5" s="6" t="s">
        <v>139</v>
      </c>
    </row>
    <row r="6" customFormat="false" ht="15" hidden="false" customHeight="false" outlineLevel="0" collapsed="false">
      <c r="A6" s="14" t="str">
        <f aca="false">IF('3. Projeção 12 meses'!A7="","",'3. Projeção 12 meses'!A7)</f>
        <v>Indicação  (exemplo — apague e coloque as suas)</v>
      </c>
      <c r="B6" s="49" t="n">
        <f aca="false">'3. Projeção 12 meses'!C7</f>
        <v>80000</v>
      </c>
      <c r="C6" s="49" t="n">
        <f aca="false">'3. Projeção 12 meses'!D7</f>
        <v>80000</v>
      </c>
      <c r="D6" s="49" t="n">
        <f aca="false">'3. Projeção 12 meses'!E7</f>
        <v>80000</v>
      </c>
      <c r="E6" s="49" t="n">
        <f aca="false">'3. Projeção 12 meses'!F7</f>
        <v>80000</v>
      </c>
      <c r="F6" s="49" t="n">
        <f aca="false">'3. Projeção 12 meses'!G7</f>
        <v>80000</v>
      </c>
      <c r="G6" s="49" t="n">
        <f aca="false">'3. Projeção 12 meses'!H7</f>
        <v>80000</v>
      </c>
      <c r="H6" s="49" t="n">
        <f aca="false">'3. Projeção 12 meses'!I7</f>
        <v>80000</v>
      </c>
      <c r="I6" s="49" t="n">
        <f aca="false">'3. Projeção 12 meses'!J7</f>
        <v>80000</v>
      </c>
      <c r="J6" s="49" t="n">
        <f aca="false">'3. Projeção 12 meses'!K7</f>
        <v>80000</v>
      </c>
      <c r="K6" s="49" t="n">
        <f aca="false">'3. Projeção 12 meses'!L7</f>
        <v>80000</v>
      </c>
      <c r="L6" s="49" t="n">
        <f aca="false">'3. Projeção 12 meses'!M7</f>
        <v>80000</v>
      </c>
      <c r="M6" s="49" t="n">
        <f aca="false">'3. Projeção 12 meses'!N7</f>
        <v>80000</v>
      </c>
    </row>
    <row r="7" customFormat="false" ht="15" hidden="false" customHeight="false" outlineLevel="0" collapsed="false">
      <c r="A7" s="14" t="str">
        <f aca="false">IF('3. Projeção 12 meses'!A8="","",'3. Projeção 12 meses'!A8)</f>
        <v/>
      </c>
      <c r="B7" s="49" t="n">
        <f aca="false">'3. Projeção 12 meses'!C8</f>
        <v>0</v>
      </c>
      <c r="C7" s="49" t="n">
        <f aca="false">'3. Projeção 12 meses'!D8</f>
        <v>0</v>
      </c>
      <c r="D7" s="49" t="n">
        <f aca="false">'3. Projeção 12 meses'!E8</f>
        <v>0</v>
      </c>
      <c r="E7" s="49" t="n">
        <f aca="false">'3. Projeção 12 meses'!F8</f>
        <v>0</v>
      </c>
      <c r="F7" s="49" t="n">
        <f aca="false">'3. Projeção 12 meses'!G8</f>
        <v>0</v>
      </c>
      <c r="G7" s="49" t="n">
        <f aca="false">'3. Projeção 12 meses'!H8</f>
        <v>0</v>
      </c>
      <c r="H7" s="49" t="n">
        <f aca="false">'3. Projeção 12 meses'!I8</f>
        <v>0</v>
      </c>
      <c r="I7" s="49" t="n">
        <f aca="false">'3. Projeção 12 meses'!J8</f>
        <v>0</v>
      </c>
      <c r="J7" s="49" t="n">
        <f aca="false">'3. Projeção 12 meses'!K8</f>
        <v>0</v>
      </c>
      <c r="K7" s="49" t="n">
        <f aca="false">'3. Projeção 12 meses'!L8</f>
        <v>0</v>
      </c>
      <c r="L7" s="49" t="n">
        <f aca="false">'3. Projeção 12 meses'!M8</f>
        <v>0</v>
      </c>
      <c r="M7" s="49" t="n">
        <f aca="false">'3. Projeção 12 meses'!N8</f>
        <v>0</v>
      </c>
    </row>
    <row r="8" customFormat="false" ht="15" hidden="false" customHeight="false" outlineLevel="0" collapsed="false">
      <c r="A8" s="14" t="str">
        <f aca="false">IF('3. Projeção 12 meses'!A9="","",'3. Projeção 12 meses'!A9)</f>
        <v/>
      </c>
      <c r="B8" s="49" t="n">
        <f aca="false">'3. Projeção 12 meses'!C9</f>
        <v>0</v>
      </c>
      <c r="C8" s="49" t="n">
        <f aca="false">'3. Projeção 12 meses'!D9</f>
        <v>0</v>
      </c>
      <c r="D8" s="49" t="n">
        <f aca="false">'3. Projeção 12 meses'!E9</f>
        <v>0</v>
      </c>
      <c r="E8" s="49" t="n">
        <f aca="false">'3. Projeção 12 meses'!F9</f>
        <v>0</v>
      </c>
      <c r="F8" s="49" t="n">
        <f aca="false">'3. Projeção 12 meses'!G9</f>
        <v>0</v>
      </c>
      <c r="G8" s="49" t="n">
        <f aca="false">'3. Projeção 12 meses'!H9</f>
        <v>0</v>
      </c>
      <c r="H8" s="49" t="n">
        <f aca="false">'3. Projeção 12 meses'!I9</f>
        <v>0</v>
      </c>
      <c r="I8" s="49" t="n">
        <f aca="false">'3. Projeção 12 meses'!J9</f>
        <v>0</v>
      </c>
      <c r="J8" s="49" t="n">
        <f aca="false">'3. Projeção 12 meses'!K9</f>
        <v>0</v>
      </c>
      <c r="K8" s="49" t="n">
        <f aca="false">'3. Projeção 12 meses'!L9</f>
        <v>0</v>
      </c>
      <c r="L8" s="49" t="n">
        <f aca="false">'3. Projeção 12 meses'!M9</f>
        <v>0</v>
      </c>
      <c r="M8" s="49" t="n">
        <f aca="false">'3. Projeção 12 meses'!N9</f>
        <v>0</v>
      </c>
    </row>
    <row r="9" customFormat="false" ht="15" hidden="false" customHeight="false" outlineLevel="0" collapsed="false">
      <c r="A9" s="14" t="str">
        <f aca="false">IF('3. Projeção 12 meses'!A10="","",'3. Projeção 12 meses'!A10)</f>
        <v/>
      </c>
      <c r="B9" s="49" t="n">
        <f aca="false">'3. Projeção 12 meses'!C10</f>
        <v>0</v>
      </c>
      <c r="C9" s="49" t="n">
        <f aca="false">'3. Projeção 12 meses'!D10</f>
        <v>0</v>
      </c>
      <c r="D9" s="49" t="n">
        <f aca="false">'3. Projeção 12 meses'!E10</f>
        <v>0</v>
      </c>
      <c r="E9" s="49" t="n">
        <f aca="false">'3. Projeção 12 meses'!F10</f>
        <v>0</v>
      </c>
      <c r="F9" s="49" t="n">
        <f aca="false">'3. Projeção 12 meses'!G10</f>
        <v>0</v>
      </c>
      <c r="G9" s="49" t="n">
        <f aca="false">'3. Projeção 12 meses'!H10</f>
        <v>0</v>
      </c>
      <c r="H9" s="49" t="n">
        <f aca="false">'3. Projeção 12 meses'!I10</f>
        <v>0</v>
      </c>
      <c r="I9" s="49" t="n">
        <f aca="false">'3. Projeção 12 meses'!J10</f>
        <v>0</v>
      </c>
      <c r="J9" s="49" t="n">
        <f aca="false">'3. Projeção 12 meses'!K10</f>
        <v>0</v>
      </c>
      <c r="K9" s="49" t="n">
        <f aca="false">'3. Projeção 12 meses'!L10</f>
        <v>0</v>
      </c>
      <c r="L9" s="49" t="n">
        <f aca="false">'3. Projeção 12 meses'!M10</f>
        <v>0</v>
      </c>
      <c r="M9" s="49" t="n">
        <f aca="false">'3. Projeção 12 meses'!N10</f>
        <v>0</v>
      </c>
    </row>
    <row r="10" customFormat="false" ht="15" hidden="false" customHeight="false" outlineLevel="0" collapsed="false">
      <c r="A10" s="14" t="str">
        <f aca="false">IF('3. Projeção 12 meses'!A11="","",'3. Projeção 12 meses'!A11)</f>
        <v/>
      </c>
      <c r="B10" s="49" t="n">
        <f aca="false">'3. Projeção 12 meses'!C11</f>
        <v>0</v>
      </c>
      <c r="C10" s="49" t="n">
        <f aca="false">'3. Projeção 12 meses'!D11</f>
        <v>0</v>
      </c>
      <c r="D10" s="49" t="n">
        <f aca="false">'3. Projeção 12 meses'!E11</f>
        <v>0</v>
      </c>
      <c r="E10" s="49" t="n">
        <f aca="false">'3. Projeção 12 meses'!F11</f>
        <v>0</v>
      </c>
      <c r="F10" s="49" t="n">
        <f aca="false">'3. Projeção 12 meses'!G11</f>
        <v>0</v>
      </c>
      <c r="G10" s="49" t="n">
        <f aca="false">'3. Projeção 12 meses'!H11</f>
        <v>0</v>
      </c>
      <c r="H10" s="49" t="n">
        <f aca="false">'3. Projeção 12 meses'!I11</f>
        <v>0</v>
      </c>
      <c r="I10" s="49" t="n">
        <f aca="false">'3. Projeção 12 meses'!J11</f>
        <v>0</v>
      </c>
      <c r="J10" s="49" t="n">
        <f aca="false">'3. Projeção 12 meses'!K11</f>
        <v>0</v>
      </c>
      <c r="K10" s="49" t="n">
        <f aca="false">'3. Projeção 12 meses'!L11</f>
        <v>0</v>
      </c>
      <c r="L10" s="49" t="n">
        <f aca="false">'3. Projeção 12 meses'!M11</f>
        <v>0</v>
      </c>
      <c r="M10" s="49" t="n">
        <f aca="false">'3. Projeção 12 meses'!N11</f>
        <v>0</v>
      </c>
    </row>
    <row r="11" customFormat="false" ht="15" hidden="false" customHeight="false" outlineLevel="0" collapsed="false">
      <c r="A11" s="14" t="str">
        <f aca="false">IF('3. Projeção 12 meses'!A12="","",'3. Projeção 12 meses'!A12)</f>
        <v/>
      </c>
      <c r="B11" s="49" t="n">
        <f aca="false">'3. Projeção 12 meses'!C12</f>
        <v>0</v>
      </c>
      <c r="C11" s="49" t="n">
        <f aca="false">'3. Projeção 12 meses'!D12</f>
        <v>0</v>
      </c>
      <c r="D11" s="49" t="n">
        <f aca="false">'3. Projeção 12 meses'!E12</f>
        <v>0</v>
      </c>
      <c r="E11" s="49" t="n">
        <f aca="false">'3. Projeção 12 meses'!F12</f>
        <v>0</v>
      </c>
      <c r="F11" s="49" t="n">
        <f aca="false">'3. Projeção 12 meses'!G12</f>
        <v>0</v>
      </c>
      <c r="G11" s="49" t="n">
        <f aca="false">'3. Projeção 12 meses'!H12</f>
        <v>0</v>
      </c>
      <c r="H11" s="49" t="n">
        <f aca="false">'3. Projeção 12 meses'!I12</f>
        <v>0</v>
      </c>
      <c r="I11" s="49" t="n">
        <f aca="false">'3. Projeção 12 meses'!J12</f>
        <v>0</v>
      </c>
      <c r="J11" s="49" t="n">
        <f aca="false">'3. Projeção 12 meses'!K12</f>
        <v>0</v>
      </c>
      <c r="K11" s="49" t="n">
        <f aca="false">'3. Projeção 12 meses'!L12</f>
        <v>0</v>
      </c>
      <c r="L11" s="49" t="n">
        <f aca="false">'3. Projeção 12 meses'!M12</f>
        <v>0</v>
      </c>
      <c r="M11" s="49" t="n">
        <f aca="false">'3. Projeção 12 meses'!N12</f>
        <v>0</v>
      </c>
    </row>
    <row r="12" customFormat="false" ht="15" hidden="false" customHeight="false" outlineLevel="0" collapsed="false">
      <c r="A12" s="14" t="str">
        <f aca="false">IF('3. Projeção 12 meses'!A13="","",'3. Projeção 12 meses'!A13)</f>
        <v/>
      </c>
      <c r="B12" s="49" t="n">
        <f aca="false">'3. Projeção 12 meses'!C13</f>
        <v>0</v>
      </c>
      <c r="C12" s="49" t="n">
        <f aca="false">'3. Projeção 12 meses'!D13</f>
        <v>0</v>
      </c>
      <c r="D12" s="49" t="n">
        <f aca="false">'3. Projeção 12 meses'!E13</f>
        <v>0</v>
      </c>
      <c r="E12" s="49" t="n">
        <f aca="false">'3. Projeção 12 meses'!F13</f>
        <v>0</v>
      </c>
      <c r="F12" s="49" t="n">
        <f aca="false">'3. Projeção 12 meses'!G13</f>
        <v>0</v>
      </c>
      <c r="G12" s="49" t="n">
        <f aca="false">'3. Projeção 12 meses'!H13</f>
        <v>0</v>
      </c>
      <c r="H12" s="49" t="n">
        <f aca="false">'3. Projeção 12 meses'!I13</f>
        <v>0</v>
      </c>
      <c r="I12" s="49" t="n">
        <f aca="false">'3. Projeção 12 meses'!J13</f>
        <v>0</v>
      </c>
      <c r="J12" s="49" t="n">
        <f aca="false">'3. Projeção 12 meses'!K13</f>
        <v>0</v>
      </c>
      <c r="K12" s="49" t="n">
        <f aca="false">'3. Projeção 12 meses'!L13</f>
        <v>0</v>
      </c>
      <c r="L12" s="49" t="n">
        <f aca="false">'3. Projeção 12 meses'!M13</f>
        <v>0</v>
      </c>
      <c r="M12" s="49" t="n">
        <f aca="false">'3. Projeção 12 meses'!N13</f>
        <v>0</v>
      </c>
    </row>
    <row r="13" customFormat="false" ht="15" hidden="false" customHeight="false" outlineLevel="0" collapsed="false">
      <c r="A13" s="14" t="str">
        <f aca="false">IF('3. Projeção 12 meses'!A14="","",'3. Projeção 12 meses'!A14)</f>
        <v/>
      </c>
      <c r="B13" s="49" t="n">
        <f aca="false">'3. Projeção 12 meses'!C14</f>
        <v>0</v>
      </c>
      <c r="C13" s="49" t="n">
        <f aca="false">'3. Projeção 12 meses'!D14</f>
        <v>0</v>
      </c>
      <c r="D13" s="49" t="n">
        <f aca="false">'3. Projeção 12 meses'!E14</f>
        <v>0</v>
      </c>
      <c r="E13" s="49" t="n">
        <f aca="false">'3. Projeção 12 meses'!F14</f>
        <v>0</v>
      </c>
      <c r="F13" s="49" t="n">
        <f aca="false">'3. Projeção 12 meses'!G14</f>
        <v>0</v>
      </c>
      <c r="G13" s="49" t="n">
        <f aca="false">'3. Projeção 12 meses'!H14</f>
        <v>0</v>
      </c>
      <c r="H13" s="49" t="n">
        <f aca="false">'3. Projeção 12 meses'!I14</f>
        <v>0</v>
      </c>
      <c r="I13" s="49" t="n">
        <f aca="false">'3. Projeção 12 meses'!J14</f>
        <v>0</v>
      </c>
      <c r="J13" s="49" t="n">
        <f aca="false">'3. Projeção 12 meses'!K14</f>
        <v>0</v>
      </c>
      <c r="K13" s="49" t="n">
        <f aca="false">'3. Projeção 12 meses'!L14</f>
        <v>0</v>
      </c>
      <c r="L13" s="49" t="n">
        <f aca="false">'3. Projeção 12 meses'!M14</f>
        <v>0</v>
      </c>
      <c r="M13" s="49" t="n">
        <f aca="false">'3. Projeção 12 meses'!N14</f>
        <v>0</v>
      </c>
    </row>
    <row r="14" customFormat="false" ht="15" hidden="false" customHeight="false" outlineLevel="0" collapsed="false">
      <c r="A14" s="14" t="str">
        <f aca="false">IF('3. Projeção 12 meses'!A15="","",'3. Projeção 12 meses'!A15)</f>
        <v/>
      </c>
      <c r="B14" s="49" t="n">
        <f aca="false">'3. Projeção 12 meses'!C15</f>
        <v>0</v>
      </c>
      <c r="C14" s="49" t="n">
        <f aca="false">'3. Projeção 12 meses'!D15</f>
        <v>0</v>
      </c>
      <c r="D14" s="49" t="n">
        <f aca="false">'3. Projeção 12 meses'!E15</f>
        <v>0</v>
      </c>
      <c r="E14" s="49" t="n">
        <f aca="false">'3. Projeção 12 meses'!F15</f>
        <v>0</v>
      </c>
      <c r="F14" s="49" t="n">
        <f aca="false">'3. Projeção 12 meses'!G15</f>
        <v>0</v>
      </c>
      <c r="G14" s="49" t="n">
        <f aca="false">'3. Projeção 12 meses'!H15</f>
        <v>0</v>
      </c>
      <c r="H14" s="49" t="n">
        <f aca="false">'3. Projeção 12 meses'!I15</f>
        <v>0</v>
      </c>
      <c r="I14" s="49" t="n">
        <f aca="false">'3. Projeção 12 meses'!J15</f>
        <v>0</v>
      </c>
      <c r="J14" s="49" t="n">
        <f aca="false">'3. Projeção 12 meses'!K15</f>
        <v>0</v>
      </c>
      <c r="K14" s="49" t="n">
        <f aca="false">'3. Projeção 12 meses'!L15</f>
        <v>0</v>
      </c>
      <c r="L14" s="49" t="n">
        <f aca="false">'3. Projeção 12 meses'!M15</f>
        <v>0</v>
      </c>
      <c r="M14" s="49" t="n">
        <f aca="false">'3. Projeção 12 meses'!N15</f>
        <v>0</v>
      </c>
    </row>
    <row r="15" customFormat="false" ht="15" hidden="false" customHeight="false" outlineLevel="0" collapsed="false">
      <c r="A15" s="14" t="str">
        <f aca="false">IF('3. Projeção 12 meses'!A16="","",'3. Projeção 12 meses'!A16)</f>
        <v/>
      </c>
      <c r="B15" s="49" t="n">
        <f aca="false">'3. Projeção 12 meses'!C16</f>
        <v>0</v>
      </c>
      <c r="C15" s="49" t="n">
        <f aca="false">'3. Projeção 12 meses'!D16</f>
        <v>0</v>
      </c>
      <c r="D15" s="49" t="n">
        <f aca="false">'3. Projeção 12 meses'!E16</f>
        <v>0</v>
      </c>
      <c r="E15" s="49" t="n">
        <f aca="false">'3. Projeção 12 meses'!F16</f>
        <v>0</v>
      </c>
      <c r="F15" s="49" t="n">
        <f aca="false">'3. Projeção 12 meses'!G16</f>
        <v>0</v>
      </c>
      <c r="G15" s="49" t="n">
        <f aca="false">'3. Projeção 12 meses'!H16</f>
        <v>0</v>
      </c>
      <c r="H15" s="49" t="n">
        <f aca="false">'3. Projeção 12 meses'!I16</f>
        <v>0</v>
      </c>
      <c r="I15" s="49" t="n">
        <f aca="false">'3. Projeção 12 meses'!J16</f>
        <v>0</v>
      </c>
      <c r="J15" s="49" t="n">
        <f aca="false">'3. Projeção 12 meses'!K16</f>
        <v>0</v>
      </c>
      <c r="K15" s="49" t="n">
        <f aca="false">'3. Projeção 12 meses'!L16</f>
        <v>0</v>
      </c>
      <c r="L15" s="49" t="n">
        <f aca="false">'3. Projeção 12 meses'!M16</f>
        <v>0</v>
      </c>
      <c r="M15" s="49" t="n">
        <f aca="false">'3. Projeção 12 meses'!N16</f>
        <v>0</v>
      </c>
    </row>
    <row r="16" customFormat="false" ht="15" hidden="false" customHeight="false" outlineLevel="0" collapsed="false">
      <c r="A16" s="14" t="str">
        <f aca="false">IF('3. Projeção 12 meses'!A17="","",'3. Projeção 12 meses'!A17)</f>
        <v/>
      </c>
      <c r="B16" s="49" t="n">
        <f aca="false">'3. Projeção 12 meses'!C17</f>
        <v>0</v>
      </c>
      <c r="C16" s="49" t="n">
        <f aca="false">'3. Projeção 12 meses'!D17</f>
        <v>0</v>
      </c>
      <c r="D16" s="49" t="n">
        <f aca="false">'3. Projeção 12 meses'!E17</f>
        <v>0</v>
      </c>
      <c r="E16" s="49" t="n">
        <f aca="false">'3. Projeção 12 meses'!F17</f>
        <v>0</v>
      </c>
      <c r="F16" s="49" t="n">
        <f aca="false">'3. Projeção 12 meses'!G17</f>
        <v>0</v>
      </c>
      <c r="G16" s="49" t="n">
        <f aca="false">'3. Projeção 12 meses'!H17</f>
        <v>0</v>
      </c>
      <c r="H16" s="49" t="n">
        <f aca="false">'3. Projeção 12 meses'!I17</f>
        <v>0</v>
      </c>
      <c r="I16" s="49" t="n">
        <f aca="false">'3. Projeção 12 meses'!J17</f>
        <v>0</v>
      </c>
      <c r="J16" s="49" t="n">
        <f aca="false">'3. Projeção 12 meses'!K17</f>
        <v>0</v>
      </c>
      <c r="K16" s="49" t="n">
        <f aca="false">'3. Projeção 12 meses'!L17</f>
        <v>0</v>
      </c>
      <c r="L16" s="49" t="n">
        <f aca="false">'3. Projeção 12 meses'!M17</f>
        <v>0</v>
      </c>
      <c r="M16" s="49" t="n">
        <f aca="false">'3. Projeção 12 meses'!N17</f>
        <v>0</v>
      </c>
    </row>
    <row r="17" customFormat="false" ht="15" hidden="false" customHeight="false" outlineLevel="0" collapsed="false">
      <c r="A17" s="14" t="str">
        <f aca="false">IF('3. Projeção 12 meses'!A18="","",'3. Projeção 12 meses'!A18)</f>
        <v/>
      </c>
      <c r="B17" s="49" t="n">
        <f aca="false">'3. Projeção 12 meses'!C18</f>
        <v>0</v>
      </c>
      <c r="C17" s="49" t="n">
        <f aca="false">'3. Projeção 12 meses'!D18</f>
        <v>0</v>
      </c>
      <c r="D17" s="49" t="n">
        <f aca="false">'3. Projeção 12 meses'!E18</f>
        <v>0</v>
      </c>
      <c r="E17" s="49" t="n">
        <f aca="false">'3. Projeção 12 meses'!F18</f>
        <v>0</v>
      </c>
      <c r="F17" s="49" t="n">
        <f aca="false">'3. Projeção 12 meses'!G18</f>
        <v>0</v>
      </c>
      <c r="G17" s="49" t="n">
        <f aca="false">'3. Projeção 12 meses'!H18</f>
        <v>0</v>
      </c>
      <c r="H17" s="49" t="n">
        <f aca="false">'3. Projeção 12 meses'!I18</f>
        <v>0</v>
      </c>
      <c r="I17" s="49" t="n">
        <f aca="false">'3. Projeção 12 meses'!J18</f>
        <v>0</v>
      </c>
      <c r="J17" s="49" t="n">
        <f aca="false">'3. Projeção 12 meses'!K18</f>
        <v>0</v>
      </c>
      <c r="K17" s="49" t="n">
        <f aca="false">'3. Projeção 12 meses'!L18</f>
        <v>0</v>
      </c>
      <c r="L17" s="49" t="n">
        <f aca="false">'3. Projeção 12 meses'!M18</f>
        <v>0</v>
      </c>
      <c r="M17" s="49" t="n">
        <f aca="false">'3. Projeção 12 meses'!N18</f>
        <v>0</v>
      </c>
    </row>
    <row r="18" customFormat="false" ht="15" hidden="false" customHeight="false" outlineLevel="0" collapsed="false">
      <c r="A18" s="14" t="str">
        <f aca="false">IF('3. Projeção 12 meses'!A19="","",'3. Projeção 12 meses'!A19)</f>
        <v>Canal novo 1  (escreva aqui)</v>
      </c>
      <c r="B18" s="49" t="n">
        <f aca="false">'3. Projeção 12 meses'!C19</f>
        <v>0</v>
      </c>
      <c r="C18" s="49" t="n">
        <f aca="false">'3. Projeção 12 meses'!D19</f>
        <v>0</v>
      </c>
      <c r="D18" s="49" t="n">
        <f aca="false">'3. Projeção 12 meses'!E19</f>
        <v>0</v>
      </c>
      <c r="E18" s="49" t="n">
        <f aca="false">'3. Projeção 12 meses'!F19</f>
        <v>0</v>
      </c>
      <c r="F18" s="49" t="n">
        <f aca="false">'3. Projeção 12 meses'!G19</f>
        <v>0</v>
      </c>
      <c r="G18" s="49" t="n">
        <f aca="false">'3. Projeção 12 meses'!H19</f>
        <v>0</v>
      </c>
      <c r="H18" s="49" t="n">
        <f aca="false">'3. Projeção 12 meses'!I19</f>
        <v>0</v>
      </c>
      <c r="I18" s="49" t="n">
        <f aca="false">'3. Projeção 12 meses'!J19</f>
        <v>0</v>
      </c>
      <c r="J18" s="49" t="n">
        <f aca="false">'3. Projeção 12 meses'!K19</f>
        <v>0</v>
      </c>
      <c r="K18" s="49" t="n">
        <f aca="false">'3. Projeção 12 meses'!L19</f>
        <v>0</v>
      </c>
      <c r="L18" s="49" t="n">
        <f aca="false">'3. Projeção 12 meses'!M19</f>
        <v>0</v>
      </c>
      <c r="M18" s="49" t="n">
        <f aca="false">'3. Projeção 12 meses'!N19</f>
        <v>0</v>
      </c>
    </row>
    <row r="19" customFormat="false" ht="15" hidden="false" customHeight="false" outlineLevel="0" collapsed="false">
      <c r="A19" s="14" t="str">
        <f aca="false">IF('3. Projeção 12 meses'!A20="","",'3. Projeção 12 meses'!A20)</f>
        <v>Canal novo 2  (escreva aqui)</v>
      </c>
      <c r="B19" s="49" t="n">
        <f aca="false">'3. Projeção 12 meses'!C20</f>
        <v>0</v>
      </c>
      <c r="C19" s="49" t="n">
        <f aca="false">'3. Projeção 12 meses'!D20</f>
        <v>0</v>
      </c>
      <c r="D19" s="49" t="n">
        <f aca="false">'3. Projeção 12 meses'!E20</f>
        <v>0</v>
      </c>
      <c r="E19" s="49" t="n">
        <f aca="false">'3. Projeção 12 meses'!F20</f>
        <v>0</v>
      </c>
      <c r="F19" s="49" t="n">
        <f aca="false">'3. Projeção 12 meses'!G20</f>
        <v>0</v>
      </c>
      <c r="G19" s="49" t="n">
        <f aca="false">'3. Projeção 12 meses'!H20</f>
        <v>0</v>
      </c>
      <c r="H19" s="49" t="n">
        <f aca="false">'3. Projeção 12 meses'!I20</f>
        <v>0</v>
      </c>
      <c r="I19" s="49" t="n">
        <f aca="false">'3. Projeção 12 meses'!J20</f>
        <v>0</v>
      </c>
      <c r="J19" s="49" t="n">
        <f aca="false">'3. Projeção 12 meses'!K20</f>
        <v>0</v>
      </c>
      <c r="K19" s="49" t="n">
        <f aca="false">'3. Projeção 12 meses'!L20</f>
        <v>0</v>
      </c>
      <c r="L19" s="49" t="n">
        <f aca="false">'3. Projeção 12 meses'!M20</f>
        <v>0</v>
      </c>
      <c r="M19" s="49" t="n">
        <f aca="false">'3. Projeção 12 meses'!N20</f>
        <v>0</v>
      </c>
    </row>
    <row r="20" customFormat="false" ht="15" hidden="false" customHeight="false" outlineLevel="0" collapsed="false">
      <c r="A20" s="14" t="str">
        <f aca="false">IF('3. Projeção 12 meses'!A21="","",'3. Projeção 12 meses'!A21)</f>
        <v>Canal novo 3  (escreva aqui)</v>
      </c>
      <c r="B20" s="49" t="n">
        <f aca="false">'3. Projeção 12 meses'!C21</f>
        <v>0</v>
      </c>
      <c r="C20" s="49" t="n">
        <f aca="false">'3. Projeção 12 meses'!D21</f>
        <v>0</v>
      </c>
      <c r="D20" s="49" t="n">
        <f aca="false">'3. Projeção 12 meses'!E21</f>
        <v>0</v>
      </c>
      <c r="E20" s="49" t="n">
        <f aca="false">'3. Projeção 12 meses'!F21</f>
        <v>0</v>
      </c>
      <c r="F20" s="49" t="n">
        <f aca="false">'3. Projeção 12 meses'!G21</f>
        <v>0</v>
      </c>
      <c r="G20" s="49" t="n">
        <f aca="false">'3. Projeção 12 meses'!H21</f>
        <v>0</v>
      </c>
      <c r="H20" s="49" t="n">
        <f aca="false">'3. Projeção 12 meses'!I21</f>
        <v>0</v>
      </c>
      <c r="I20" s="49" t="n">
        <f aca="false">'3. Projeção 12 meses'!J21</f>
        <v>0</v>
      </c>
      <c r="J20" s="49" t="n">
        <f aca="false">'3. Projeção 12 meses'!K21</f>
        <v>0</v>
      </c>
      <c r="K20" s="49" t="n">
        <f aca="false">'3. Projeção 12 meses'!L21</f>
        <v>0</v>
      </c>
      <c r="L20" s="49" t="n">
        <f aca="false">'3. Projeção 12 meses'!M21</f>
        <v>0</v>
      </c>
      <c r="M20" s="49" t="n">
        <f aca="false">'3. Projeção 12 meses'!N21</f>
        <v>0</v>
      </c>
    </row>
    <row r="21" customFormat="false" ht="15" hidden="false" customHeight="false" outlineLevel="0" collapsed="false">
      <c r="A21" s="27" t="s">
        <v>66</v>
      </c>
      <c r="B21" s="63" t="n">
        <f aca="false">SUM(B6:B20)</f>
        <v>80000</v>
      </c>
      <c r="C21" s="63" t="n">
        <f aca="false">SUM(C6:C20)</f>
        <v>80000</v>
      </c>
      <c r="D21" s="63" t="n">
        <f aca="false">SUM(D6:D20)</f>
        <v>80000</v>
      </c>
      <c r="E21" s="63" t="n">
        <f aca="false">SUM(E6:E20)</f>
        <v>80000</v>
      </c>
      <c r="F21" s="63" t="n">
        <f aca="false">SUM(F6:F20)</f>
        <v>80000</v>
      </c>
      <c r="G21" s="63" t="n">
        <f aca="false">SUM(G6:G20)</f>
        <v>80000</v>
      </c>
      <c r="H21" s="63" t="n">
        <f aca="false">SUM(H6:H20)</f>
        <v>80000</v>
      </c>
      <c r="I21" s="63" t="n">
        <f aca="false">SUM(I6:I20)</f>
        <v>80000</v>
      </c>
      <c r="J21" s="63" t="n">
        <f aca="false">SUM(J6:J20)</f>
        <v>80000</v>
      </c>
      <c r="K21" s="63" t="n">
        <f aca="false">SUM(K6:K20)</f>
        <v>80000</v>
      </c>
      <c r="L21" s="63" t="n">
        <f aca="false">SUM(L6:L20)</f>
        <v>80000</v>
      </c>
      <c r="M21" s="63" t="n">
        <f aca="false">SUM(M6:M20)</f>
        <v>80000</v>
      </c>
    </row>
    <row r="23" customFormat="false" ht="21.75" hidden="false" customHeight="true" outlineLevel="0" collapsed="false">
      <c r="A23" s="10" t="s">
        <v>149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31.5" hidden="false" customHeight="true" outlineLevel="0" collapsed="false">
      <c r="A24" s="6" t="s">
        <v>54</v>
      </c>
      <c r="B24" s="6" t="s">
        <v>128</v>
      </c>
      <c r="C24" s="6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6" t="s">
        <v>135</v>
      </c>
      <c r="J24" s="6" t="s">
        <v>136</v>
      </c>
      <c r="K24" s="6" t="s">
        <v>137</v>
      </c>
      <c r="L24" s="6" t="s">
        <v>138</v>
      </c>
      <c r="M24" s="6" t="s">
        <v>139</v>
      </c>
    </row>
    <row r="25" customFormat="false" ht="15" hidden="false" customHeight="false" outlineLevel="0" collapsed="false">
      <c r="A25" s="14" t="str">
        <f aca="false">IF('3. Projeção 12 meses'!A7="","",'3. Projeção 12 meses'!A7)</f>
        <v>Indicação  (exemplo — apague e coloque as suas)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</row>
    <row r="26" customFormat="false" ht="15" hidden="false" customHeight="false" outlineLevel="0" collapsed="false">
      <c r="A26" s="14" t="str">
        <f aca="false">IF('3. Projeção 12 meses'!A8="","",'3. Projeção 12 meses'!A8)</f>
        <v/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</row>
    <row r="27" customFormat="false" ht="15" hidden="false" customHeight="false" outlineLevel="0" collapsed="false">
      <c r="A27" s="14" t="str">
        <f aca="false">IF('3. Projeção 12 meses'!A9="","",'3. Projeção 12 meses'!A9)</f>
        <v/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</row>
    <row r="28" customFormat="false" ht="15" hidden="false" customHeight="false" outlineLevel="0" collapsed="false">
      <c r="A28" s="14" t="str">
        <f aca="false">IF('3. Projeção 12 meses'!A10="","",'3. Projeção 12 meses'!A10)</f>
        <v/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</row>
    <row r="29" customFormat="false" ht="15" hidden="false" customHeight="false" outlineLevel="0" collapsed="false">
      <c r="A29" s="14" t="str">
        <f aca="false">IF('3. Projeção 12 meses'!A11="","",'3. Projeção 12 meses'!A11)</f>
        <v/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</row>
    <row r="30" customFormat="false" ht="15" hidden="false" customHeight="false" outlineLevel="0" collapsed="false">
      <c r="A30" s="14" t="str">
        <f aca="false">IF('3. Projeção 12 meses'!A12="","",'3. Projeção 12 meses'!A12)</f>
        <v/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customFormat="false" ht="15" hidden="false" customHeight="false" outlineLevel="0" collapsed="false">
      <c r="A31" s="14" t="str">
        <f aca="false">IF('3. Projeção 12 meses'!A13="","",'3. Projeção 12 meses'!A13)</f>
        <v/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</row>
    <row r="32" customFormat="false" ht="15" hidden="false" customHeight="false" outlineLevel="0" collapsed="false">
      <c r="A32" s="14" t="str">
        <f aca="false">IF('3. Projeção 12 meses'!A14="","",'3. Projeção 12 meses'!A14)</f>
        <v/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</row>
    <row r="33" customFormat="false" ht="15" hidden="false" customHeight="false" outlineLevel="0" collapsed="false">
      <c r="A33" s="14" t="str">
        <f aca="false">IF('3. Projeção 12 meses'!A15="","",'3. Projeção 12 meses'!A15)</f>
        <v/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</row>
    <row r="34" customFormat="false" ht="15" hidden="false" customHeight="false" outlineLevel="0" collapsed="false">
      <c r="A34" s="14" t="str">
        <f aca="false">IF('3. Projeção 12 meses'!A16="","",'3. Projeção 12 meses'!A16)</f>
        <v/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</row>
    <row r="35" customFormat="false" ht="15" hidden="false" customHeight="false" outlineLevel="0" collapsed="false">
      <c r="A35" s="14" t="str">
        <f aca="false">IF('3. Projeção 12 meses'!A17="","",'3. Projeção 12 meses'!A17)</f>
        <v/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</row>
    <row r="36" customFormat="false" ht="15" hidden="false" customHeight="false" outlineLevel="0" collapsed="false">
      <c r="A36" s="14" t="str">
        <f aca="false">IF('3. Projeção 12 meses'!A18="","",'3. Projeção 12 meses'!A18)</f>
        <v/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</row>
    <row r="37" customFormat="false" ht="15" hidden="false" customHeight="false" outlineLevel="0" collapsed="false">
      <c r="A37" s="14" t="str">
        <f aca="false">IF('3. Projeção 12 meses'!A19="","",'3. Projeção 12 meses'!A19)</f>
        <v>Canal novo 1  (escreva aqui)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</row>
    <row r="38" customFormat="false" ht="15" hidden="false" customHeight="false" outlineLevel="0" collapsed="false">
      <c r="A38" s="14" t="str">
        <f aca="false">IF('3. Projeção 12 meses'!A20="","",'3. Projeção 12 meses'!A20)</f>
        <v>Canal novo 2  (escreva aqui)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</row>
    <row r="39" customFormat="false" ht="15" hidden="false" customHeight="false" outlineLevel="0" collapsed="false">
      <c r="A39" s="14" t="str">
        <f aca="false">IF('3. Projeção 12 meses'!A21="","",'3. Projeção 12 meses'!A21)</f>
        <v>Canal novo 3  (escreva aqui)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</row>
    <row r="40" customFormat="false" ht="15" hidden="false" customHeight="false" outlineLevel="0" collapsed="false">
      <c r="A40" s="27" t="s">
        <v>66</v>
      </c>
      <c r="B40" s="63" t="n">
        <f aca="false">SUM(B25:B39)</f>
        <v>0</v>
      </c>
      <c r="C40" s="63" t="n">
        <f aca="false">SUM(C25:C39)</f>
        <v>0</v>
      </c>
      <c r="D40" s="63" t="n">
        <f aca="false">SUM(D25:D39)</f>
        <v>0</v>
      </c>
      <c r="E40" s="63" t="n">
        <f aca="false">SUM(E25:E39)</f>
        <v>0</v>
      </c>
      <c r="F40" s="63" t="n">
        <f aca="false">SUM(F25:F39)</f>
        <v>0</v>
      </c>
      <c r="G40" s="63" t="n">
        <f aca="false">SUM(G25:G39)</f>
        <v>0</v>
      </c>
      <c r="H40" s="63" t="n">
        <f aca="false">SUM(H25:H39)</f>
        <v>0</v>
      </c>
      <c r="I40" s="63" t="n">
        <f aca="false">SUM(I25:I39)</f>
        <v>0</v>
      </c>
      <c r="J40" s="63" t="n">
        <f aca="false">SUM(J25:J39)</f>
        <v>0</v>
      </c>
      <c r="K40" s="63" t="n">
        <f aca="false">SUM(K25:K39)</f>
        <v>0</v>
      </c>
      <c r="L40" s="63" t="n">
        <f aca="false">SUM(L25:L39)</f>
        <v>0</v>
      </c>
      <c r="M40" s="63" t="n">
        <f aca="false">SUM(M25:M39)</f>
        <v>0</v>
      </c>
    </row>
    <row r="42" customFormat="false" ht="21.75" hidden="false" customHeight="true" outlineLevel="0" collapsed="false">
      <c r="A42" s="5" t="s">
        <v>150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31.5" hidden="false" customHeight="true" outlineLevel="0" collapsed="false">
      <c r="A43" s="6" t="s">
        <v>54</v>
      </c>
      <c r="B43" s="6" t="s">
        <v>128</v>
      </c>
      <c r="C43" s="6" t="s">
        <v>129</v>
      </c>
      <c r="D43" s="6" t="s">
        <v>130</v>
      </c>
      <c r="E43" s="6" t="s">
        <v>131</v>
      </c>
      <c r="F43" s="6" t="s">
        <v>132</v>
      </c>
      <c r="G43" s="6" t="s">
        <v>133</v>
      </c>
      <c r="H43" s="6" t="s">
        <v>134</v>
      </c>
      <c r="I43" s="6" t="s">
        <v>135</v>
      </c>
      <c r="J43" s="6" t="s">
        <v>136</v>
      </c>
      <c r="K43" s="6" t="s">
        <v>137</v>
      </c>
      <c r="L43" s="6" t="s">
        <v>138</v>
      </c>
      <c r="M43" s="6" t="s">
        <v>139</v>
      </c>
    </row>
    <row r="44" customFormat="false" ht="15" hidden="false" customHeight="false" outlineLevel="0" collapsed="false">
      <c r="A44" s="14" t="str">
        <f aca="false">IF('3. Projeção 12 meses'!A7="","",'3. Projeção 12 meses'!A7)</f>
        <v>Indicação  (exemplo — apague e coloque as suas)</v>
      </c>
      <c r="B44" s="23" t="str">
        <f aca="false">IF(B25="","",IFERROR(B25/B6,""))</f>
        <v/>
      </c>
      <c r="C44" s="23" t="str">
        <f aca="false">IF(C25="","",IFERROR(C25/C6,""))</f>
        <v/>
      </c>
      <c r="D44" s="23" t="str">
        <f aca="false">IF(D25="","",IFERROR(D25/D6,""))</f>
        <v/>
      </c>
      <c r="E44" s="23" t="str">
        <f aca="false">IF(E25="","",IFERROR(E25/E6,""))</f>
        <v/>
      </c>
      <c r="F44" s="23" t="str">
        <f aca="false">IF(F25="","",IFERROR(F25/F6,""))</f>
        <v/>
      </c>
      <c r="G44" s="23" t="str">
        <f aca="false">IF(G25="","",IFERROR(G25/G6,""))</f>
        <v/>
      </c>
      <c r="H44" s="23" t="str">
        <f aca="false">IF(H25="","",IFERROR(H25/H6,""))</f>
        <v/>
      </c>
      <c r="I44" s="23" t="str">
        <f aca="false">IF(I25="","",IFERROR(I25/I6,""))</f>
        <v/>
      </c>
      <c r="J44" s="23" t="str">
        <f aca="false">IF(J25="","",IFERROR(J25/J6,""))</f>
        <v/>
      </c>
      <c r="K44" s="23" t="str">
        <f aca="false">IF(K25="","",IFERROR(K25/K6,""))</f>
        <v/>
      </c>
      <c r="L44" s="23" t="str">
        <f aca="false">IF(L25="","",IFERROR(L25/L6,""))</f>
        <v/>
      </c>
      <c r="M44" s="23" t="str">
        <f aca="false">IF(M25="","",IFERROR(M25/M6,""))</f>
        <v/>
      </c>
    </row>
    <row r="45" customFormat="false" ht="15" hidden="false" customHeight="false" outlineLevel="0" collapsed="false">
      <c r="A45" s="14" t="str">
        <f aca="false">IF('3. Projeção 12 meses'!A8="","",'3. Projeção 12 meses'!A8)</f>
        <v/>
      </c>
      <c r="B45" s="23" t="str">
        <f aca="false">IF(B26="","",IFERROR(B26/B7,""))</f>
        <v/>
      </c>
      <c r="C45" s="23" t="str">
        <f aca="false">IF(C26="","",IFERROR(C26/C7,""))</f>
        <v/>
      </c>
      <c r="D45" s="23" t="str">
        <f aca="false">IF(D26="","",IFERROR(D26/D7,""))</f>
        <v/>
      </c>
      <c r="E45" s="23" t="str">
        <f aca="false">IF(E26="","",IFERROR(E26/E7,""))</f>
        <v/>
      </c>
      <c r="F45" s="23" t="str">
        <f aca="false">IF(F26="","",IFERROR(F26/F7,""))</f>
        <v/>
      </c>
      <c r="G45" s="23" t="str">
        <f aca="false">IF(G26="","",IFERROR(G26/G7,""))</f>
        <v/>
      </c>
      <c r="H45" s="23" t="str">
        <f aca="false">IF(H26="","",IFERROR(H26/H7,""))</f>
        <v/>
      </c>
      <c r="I45" s="23" t="str">
        <f aca="false">IF(I26="","",IFERROR(I26/I7,""))</f>
        <v/>
      </c>
      <c r="J45" s="23" t="str">
        <f aca="false">IF(J26="","",IFERROR(J26/J7,""))</f>
        <v/>
      </c>
      <c r="K45" s="23" t="str">
        <f aca="false">IF(K26="","",IFERROR(K26/K7,""))</f>
        <v/>
      </c>
      <c r="L45" s="23" t="str">
        <f aca="false">IF(L26="","",IFERROR(L26/L7,""))</f>
        <v/>
      </c>
      <c r="M45" s="23" t="str">
        <f aca="false">IF(M26="","",IFERROR(M26/M7,""))</f>
        <v/>
      </c>
    </row>
    <row r="46" customFormat="false" ht="15" hidden="false" customHeight="false" outlineLevel="0" collapsed="false">
      <c r="A46" s="14" t="str">
        <f aca="false">IF('3. Projeção 12 meses'!A9="","",'3. Projeção 12 meses'!A9)</f>
        <v/>
      </c>
      <c r="B46" s="23" t="str">
        <f aca="false">IF(B27="","",IFERROR(B27/B8,""))</f>
        <v/>
      </c>
      <c r="C46" s="23" t="str">
        <f aca="false">IF(C27="","",IFERROR(C27/C8,""))</f>
        <v/>
      </c>
      <c r="D46" s="23" t="str">
        <f aca="false">IF(D27="","",IFERROR(D27/D8,""))</f>
        <v/>
      </c>
      <c r="E46" s="23" t="str">
        <f aca="false">IF(E27="","",IFERROR(E27/E8,""))</f>
        <v/>
      </c>
      <c r="F46" s="23" t="str">
        <f aca="false">IF(F27="","",IFERROR(F27/F8,""))</f>
        <v/>
      </c>
      <c r="G46" s="23" t="str">
        <f aca="false">IF(G27="","",IFERROR(G27/G8,""))</f>
        <v/>
      </c>
      <c r="H46" s="23" t="str">
        <f aca="false">IF(H27="","",IFERROR(H27/H8,""))</f>
        <v/>
      </c>
      <c r="I46" s="23" t="str">
        <f aca="false">IF(I27="","",IFERROR(I27/I8,""))</f>
        <v/>
      </c>
      <c r="J46" s="23" t="str">
        <f aca="false">IF(J27="","",IFERROR(J27/J8,""))</f>
        <v/>
      </c>
      <c r="K46" s="23" t="str">
        <f aca="false">IF(K27="","",IFERROR(K27/K8,""))</f>
        <v/>
      </c>
      <c r="L46" s="23" t="str">
        <f aca="false">IF(L27="","",IFERROR(L27/L8,""))</f>
        <v/>
      </c>
      <c r="M46" s="23" t="str">
        <f aca="false">IF(M27="","",IFERROR(M27/M8,""))</f>
        <v/>
      </c>
    </row>
    <row r="47" customFormat="false" ht="15" hidden="false" customHeight="false" outlineLevel="0" collapsed="false">
      <c r="A47" s="14" t="str">
        <f aca="false">IF('3. Projeção 12 meses'!A10="","",'3. Projeção 12 meses'!A10)</f>
        <v/>
      </c>
      <c r="B47" s="23" t="str">
        <f aca="false">IF(B28="","",IFERROR(B28/B9,""))</f>
        <v/>
      </c>
      <c r="C47" s="23" t="str">
        <f aca="false">IF(C28="","",IFERROR(C28/C9,""))</f>
        <v/>
      </c>
      <c r="D47" s="23" t="str">
        <f aca="false">IF(D28="","",IFERROR(D28/D9,""))</f>
        <v/>
      </c>
      <c r="E47" s="23" t="str">
        <f aca="false">IF(E28="","",IFERROR(E28/E9,""))</f>
        <v/>
      </c>
      <c r="F47" s="23" t="str">
        <f aca="false">IF(F28="","",IFERROR(F28/F9,""))</f>
        <v/>
      </c>
      <c r="G47" s="23" t="str">
        <f aca="false">IF(G28="","",IFERROR(G28/G9,""))</f>
        <v/>
      </c>
      <c r="H47" s="23" t="str">
        <f aca="false">IF(H28="","",IFERROR(H28/H9,""))</f>
        <v/>
      </c>
      <c r="I47" s="23" t="str">
        <f aca="false">IF(I28="","",IFERROR(I28/I9,""))</f>
        <v/>
      </c>
      <c r="J47" s="23" t="str">
        <f aca="false">IF(J28="","",IFERROR(J28/J9,""))</f>
        <v/>
      </c>
      <c r="K47" s="23" t="str">
        <f aca="false">IF(K28="","",IFERROR(K28/K9,""))</f>
        <v/>
      </c>
      <c r="L47" s="23" t="str">
        <f aca="false">IF(L28="","",IFERROR(L28/L9,""))</f>
        <v/>
      </c>
      <c r="M47" s="23" t="str">
        <f aca="false">IF(M28="","",IFERROR(M28/M9,""))</f>
        <v/>
      </c>
    </row>
    <row r="48" customFormat="false" ht="15" hidden="false" customHeight="false" outlineLevel="0" collapsed="false">
      <c r="A48" s="14" t="str">
        <f aca="false">IF('3. Projeção 12 meses'!A11="","",'3. Projeção 12 meses'!A11)</f>
        <v/>
      </c>
      <c r="B48" s="23" t="str">
        <f aca="false">IF(B29="","",IFERROR(B29/B10,""))</f>
        <v/>
      </c>
      <c r="C48" s="23" t="str">
        <f aca="false">IF(C29="","",IFERROR(C29/C10,""))</f>
        <v/>
      </c>
      <c r="D48" s="23" t="str">
        <f aca="false">IF(D29="","",IFERROR(D29/D10,""))</f>
        <v/>
      </c>
      <c r="E48" s="23" t="str">
        <f aca="false">IF(E29="","",IFERROR(E29/E10,""))</f>
        <v/>
      </c>
      <c r="F48" s="23" t="str">
        <f aca="false">IF(F29="","",IFERROR(F29/F10,""))</f>
        <v/>
      </c>
      <c r="G48" s="23" t="str">
        <f aca="false">IF(G29="","",IFERROR(G29/G10,""))</f>
        <v/>
      </c>
      <c r="H48" s="23" t="str">
        <f aca="false">IF(H29="","",IFERROR(H29/H10,""))</f>
        <v/>
      </c>
      <c r="I48" s="23" t="str">
        <f aca="false">IF(I29="","",IFERROR(I29/I10,""))</f>
        <v/>
      </c>
      <c r="J48" s="23" t="str">
        <f aca="false">IF(J29="","",IFERROR(J29/J10,""))</f>
        <v/>
      </c>
      <c r="K48" s="23" t="str">
        <f aca="false">IF(K29="","",IFERROR(K29/K10,""))</f>
        <v/>
      </c>
      <c r="L48" s="23" t="str">
        <f aca="false">IF(L29="","",IFERROR(L29/L10,""))</f>
        <v/>
      </c>
      <c r="M48" s="23" t="str">
        <f aca="false">IF(M29="","",IFERROR(M29/M10,""))</f>
        <v/>
      </c>
    </row>
    <row r="49" customFormat="false" ht="15" hidden="false" customHeight="false" outlineLevel="0" collapsed="false">
      <c r="A49" s="14" t="str">
        <f aca="false">IF('3. Projeção 12 meses'!A12="","",'3. Projeção 12 meses'!A12)</f>
        <v/>
      </c>
      <c r="B49" s="23" t="str">
        <f aca="false">IF(B30="","",IFERROR(B30/B11,""))</f>
        <v/>
      </c>
      <c r="C49" s="23" t="str">
        <f aca="false">IF(C30="","",IFERROR(C30/C11,""))</f>
        <v/>
      </c>
      <c r="D49" s="23" t="str">
        <f aca="false">IF(D30="","",IFERROR(D30/D11,""))</f>
        <v/>
      </c>
      <c r="E49" s="23" t="str">
        <f aca="false">IF(E30="","",IFERROR(E30/E11,""))</f>
        <v/>
      </c>
      <c r="F49" s="23" t="str">
        <f aca="false">IF(F30="","",IFERROR(F30/F11,""))</f>
        <v/>
      </c>
      <c r="G49" s="23" t="str">
        <f aca="false">IF(G30="","",IFERROR(G30/G11,""))</f>
        <v/>
      </c>
      <c r="H49" s="23" t="str">
        <f aca="false">IF(H30="","",IFERROR(H30/H11,""))</f>
        <v/>
      </c>
      <c r="I49" s="23" t="str">
        <f aca="false">IF(I30="","",IFERROR(I30/I11,""))</f>
        <v/>
      </c>
      <c r="J49" s="23" t="str">
        <f aca="false">IF(J30="","",IFERROR(J30/J11,""))</f>
        <v/>
      </c>
      <c r="K49" s="23" t="str">
        <f aca="false">IF(K30="","",IFERROR(K30/K11,""))</f>
        <v/>
      </c>
      <c r="L49" s="23" t="str">
        <f aca="false">IF(L30="","",IFERROR(L30/L11,""))</f>
        <v/>
      </c>
      <c r="M49" s="23" t="str">
        <f aca="false">IF(M30="","",IFERROR(M30/M11,""))</f>
        <v/>
      </c>
    </row>
    <row r="50" customFormat="false" ht="15" hidden="false" customHeight="false" outlineLevel="0" collapsed="false">
      <c r="A50" s="14" t="str">
        <f aca="false">IF('3. Projeção 12 meses'!A13="","",'3. Projeção 12 meses'!A13)</f>
        <v/>
      </c>
      <c r="B50" s="23" t="str">
        <f aca="false">IF(B31="","",IFERROR(B31/B12,""))</f>
        <v/>
      </c>
      <c r="C50" s="23" t="str">
        <f aca="false">IF(C31="","",IFERROR(C31/C12,""))</f>
        <v/>
      </c>
      <c r="D50" s="23" t="str">
        <f aca="false">IF(D31="","",IFERROR(D31/D12,""))</f>
        <v/>
      </c>
      <c r="E50" s="23" t="str">
        <f aca="false">IF(E31="","",IFERROR(E31/E12,""))</f>
        <v/>
      </c>
      <c r="F50" s="23" t="str">
        <f aca="false">IF(F31="","",IFERROR(F31/F12,""))</f>
        <v/>
      </c>
      <c r="G50" s="23" t="str">
        <f aca="false">IF(G31="","",IFERROR(G31/G12,""))</f>
        <v/>
      </c>
      <c r="H50" s="23" t="str">
        <f aca="false">IF(H31="","",IFERROR(H31/H12,""))</f>
        <v/>
      </c>
      <c r="I50" s="23" t="str">
        <f aca="false">IF(I31="","",IFERROR(I31/I12,""))</f>
        <v/>
      </c>
      <c r="J50" s="23" t="str">
        <f aca="false">IF(J31="","",IFERROR(J31/J12,""))</f>
        <v/>
      </c>
      <c r="K50" s="23" t="str">
        <f aca="false">IF(K31="","",IFERROR(K31/K12,""))</f>
        <v/>
      </c>
      <c r="L50" s="23" t="str">
        <f aca="false">IF(L31="","",IFERROR(L31/L12,""))</f>
        <v/>
      </c>
      <c r="M50" s="23" t="str">
        <f aca="false">IF(M31="","",IFERROR(M31/M12,""))</f>
        <v/>
      </c>
    </row>
    <row r="51" customFormat="false" ht="15" hidden="false" customHeight="false" outlineLevel="0" collapsed="false">
      <c r="A51" s="14" t="str">
        <f aca="false">IF('3. Projeção 12 meses'!A14="","",'3. Projeção 12 meses'!A14)</f>
        <v/>
      </c>
      <c r="B51" s="23" t="str">
        <f aca="false">IF(B32="","",IFERROR(B32/B13,""))</f>
        <v/>
      </c>
      <c r="C51" s="23" t="str">
        <f aca="false">IF(C32="","",IFERROR(C32/C13,""))</f>
        <v/>
      </c>
      <c r="D51" s="23" t="str">
        <f aca="false">IF(D32="","",IFERROR(D32/D13,""))</f>
        <v/>
      </c>
      <c r="E51" s="23" t="str">
        <f aca="false">IF(E32="","",IFERROR(E32/E13,""))</f>
        <v/>
      </c>
      <c r="F51" s="23" t="str">
        <f aca="false">IF(F32="","",IFERROR(F32/F13,""))</f>
        <v/>
      </c>
      <c r="G51" s="23" t="str">
        <f aca="false">IF(G32="","",IFERROR(G32/G13,""))</f>
        <v/>
      </c>
      <c r="H51" s="23" t="str">
        <f aca="false">IF(H32="","",IFERROR(H32/H13,""))</f>
        <v/>
      </c>
      <c r="I51" s="23" t="str">
        <f aca="false">IF(I32="","",IFERROR(I32/I13,""))</f>
        <v/>
      </c>
      <c r="J51" s="23" t="str">
        <f aca="false">IF(J32="","",IFERROR(J32/J13,""))</f>
        <v/>
      </c>
      <c r="K51" s="23" t="str">
        <f aca="false">IF(K32="","",IFERROR(K32/K13,""))</f>
        <v/>
      </c>
      <c r="L51" s="23" t="str">
        <f aca="false">IF(L32="","",IFERROR(L32/L13,""))</f>
        <v/>
      </c>
      <c r="M51" s="23" t="str">
        <f aca="false">IF(M32="","",IFERROR(M32/M13,""))</f>
        <v/>
      </c>
    </row>
    <row r="52" customFormat="false" ht="15" hidden="false" customHeight="false" outlineLevel="0" collapsed="false">
      <c r="A52" s="14" t="str">
        <f aca="false">IF('3. Projeção 12 meses'!A15="","",'3. Projeção 12 meses'!A15)</f>
        <v/>
      </c>
      <c r="B52" s="23" t="str">
        <f aca="false">IF(B33="","",IFERROR(B33/B14,""))</f>
        <v/>
      </c>
      <c r="C52" s="23" t="str">
        <f aca="false">IF(C33="","",IFERROR(C33/C14,""))</f>
        <v/>
      </c>
      <c r="D52" s="23" t="str">
        <f aca="false">IF(D33="","",IFERROR(D33/D14,""))</f>
        <v/>
      </c>
      <c r="E52" s="23" t="str">
        <f aca="false">IF(E33="","",IFERROR(E33/E14,""))</f>
        <v/>
      </c>
      <c r="F52" s="23" t="str">
        <f aca="false">IF(F33="","",IFERROR(F33/F14,""))</f>
        <v/>
      </c>
      <c r="G52" s="23" t="str">
        <f aca="false">IF(G33="","",IFERROR(G33/G14,""))</f>
        <v/>
      </c>
      <c r="H52" s="23" t="str">
        <f aca="false">IF(H33="","",IFERROR(H33/H14,""))</f>
        <v/>
      </c>
      <c r="I52" s="23" t="str">
        <f aca="false">IF(I33="","",IFERROR(I33/I14,""))</f>
        <v/>
      </c>
      <c r="J52" s="23" t="str">
        <f aca="false">IF(J33="","",IFERROR(J33/J14,""))</f>
        <v/>
      </c>
      <c r="K52" s="23" t="str">
        <f aca="false">IF(K33="","",IFERROR(K33/K14,""))</f>
        <v/>
      </c>
      <c r="L52" s="23" t="str">
        <f aca="false">IF(L33="","",IFERROR(L33/L14,""))</f>
        <v/>
      </c>
      <c r="M52" s="23" t="str">
        <f aca="false">IF(M33="","",IFERROR(M33/M14,""))</f>
        <v/>
      </c>
    </row>
    <row r="53" customFormat="false" ht="15" hidden="false" customHeight="false" outlineLevel="0" collapsed="false">
      <c r="A53" s="14" t="str">
        <f aca="false">IF('3. Projeção 12 meses'!A16="","",'3. Projeção 12 meses'!A16)</f>
        <v/>
      </c>
      <c r="B53" s="23" t="str">
        <f aca="false">IF(B34="","",IFERROR(B34/B15,""))</f>
        <v/>
      </c>
      <c r="C53" s="23" t="str">
        <f aca="false">IF(C34="","",IFERROR(C34/C15,""))</f>
        <v/>
      </c>
      <c r="D53" s="23" t="str">
        <f aca="false">IF(D34="","",IFERROR(D34/D15,""))</f>
        <v/>
      </c>
      <c r="E53" s="23" t="str">
        <f aca="false">IF(E34="","",IFERROR(E34/E15,""))</f>
        <v/>
      </c>
      <c r="F53" s="23" t="str">
        <f aca="false">IF(F34="","",IFERROR(F34/F15,""))</f>
        <v/>
      </c>
      <c r="G53" s="23" t="str">
        <f aca="false">IF(G34="","",IFERROR(G34/G15,""))</f>
        <v/>
      </c>
      <c r="H53" s="23" t="str">
        <f aca="false">IF(H34="","",IFERROR(H34/H15,""))</f>
        <v/>
      </c>
      <c r="I53" s="23" t="str">
        <f aca="false">IF(I34="","",IFERROR(I34/I15,""))</f>
        <v/>
      </c>
      <c r="J53" s="23" t="str">
        <f aca="false">IF(J34="","",IFERROR(J34/J15,""))</f>
        <v/>
      </c>
      <c r="K53" s="23" t="str">
        <f aca="false">IF(K34="","",IFERROR(K34/K15,""))</f>
        <v/>
      </c>
      <c r="L53" s="23" t="str">
        <f aca="false">IF(L34="","",IFERROR(L34/L15,""))</f>
        <v/>
      </c>
      <c r="M53" s="23" t="str">
        <f aca="false">IF(M34="","",IFERROR(M34/M15,""))</f>
        <v/>
      </c>
    </row>
    <row r="54" customFormat="false" ht="15" hidden="false" customHeight="false" outlineLevel="0" collapsed="false">
      <c r="A54" s="14" t="str">
        <f aca="false">IF('3. Projeção 12 meses'!A17="","",'3. Projeção 12 meses'!A17)</f>
        <v/>
      </c>
      <c r="B54" s="23" t="str">
        <f aca="false">IF(B35="","",IFERROR(B35/B16,""))</f>
        <v/>
      </c>
      <c r="C54" s="23" t="str">
        <f aca="false">IF(C35="","",IFERROR(C35/C16,""))</f>
        <v/>
      </c>
      <c r="D54" s="23" t="str">
        <f aca="false">IF(D35="","",IFERROR(D35/D16,""))</f>
        <v/>
      </c>
      <c r="E54" s="23" t="str">
        <f aca="false">IF(E35="","",IFERROR(E35/E16,""))</f>
        <v/>
      </c>
      <c r="F54" s="23" t="str">
        <f aca="false">IF(F35="","",IFERROR(F35/F16,""))</f>
        <v/>
      </c>
      <c r="G54" s="23" t="str">
        <f aca="false">IF(G35="","",IFERROR(G35/G16,""))</f>
        <v/>
      </c>
      <c r="H54" s="23" t="str">
        <f aca="false">IF(H35="","",IFERROR(H35/H16,""))</f>
        <v/>
      </c>
      <c r="I54" s="23" t="str">
        <f aca="false">IF(I35="","",IFERROR(I35/I16,""))</f>
        <v/>
      </c>
      <c r="J54" s="23" t="str">
        <f aca="false">IF(J35="","",IFERROR(J35/J16,""))</f>
        <v/>
      </c>
      <c r="K54" s="23" t="str">
        <f aca="false">IF(K35="","",IFERROR(K35/K16,""))</f>
        <v/>
      </c>
      <c r="L54" s="23" t="str">
        <f aca="false">IF(L35="","",IFERROR(L35/L16,""))</f>
        <v/>
      </c>
      <c r="M54" s="23" t="str">
        <f aca="false">IF(M35="","",IFERROR(M35/M16,""))</f>
        <v/>
      </c>
    </row>
    <row r="55" customFormat="false" ht="15" hidden="false" customHeight="false" outlineLevel="0" collapsed="false">
      <c r="A55" s="14" t="str">
        <f aca="false">IF('3. Projeção 12 meses'!A18="","",'3. Projeção 12 meses'!A18)</f>
        <v/>
      </c>
      <c r="B55" s="23" t="str">
        <f aca="false">IF(B36="","",IFERROR(B36/B17,""))</f>
        <v/>
      </c>
      <c r="C55" s="23" t="str">
        <f aca="false">IF(C36="","",IFERROR(C36/C17,""))</f>
        <v/>
      </c>
      <c r="D55" s="23" t="str">
        <f aca="false">IF(D36="","",IFERROR(D36/D17,""))</f>
        <v/>
      </c>
      <c r="E55" s="23" t="str">
        <f aca="false">IF(E36="","",IFERROR(E36/E17,""))</f>
        <v/>
      </c>
      <c r="F55" s="23" t="str">
        <f aca="false">IF(F36="","",IFERROR(F36/F17,""))</f>
        <v/>
      </c>
      <c r="G55" s="23" t="str">
        <f aca="false">IF(G36="","",IFERROR(G36/G17,""))</f>
        <v/>
      </c>
      <c r="H55" s="23" t="str">
        <f aca="false">IF(H36="","",IFERROR(H36/H17,""))</f>
        <v/>
      </c>
      <c r="I55" s="23" t="str">
        <f aca="false">IF(I36="","",IFERROR(I36/I17,""))</f>
        <v/>
      </c>
      <c r="J55" s="23" t="str">
        <f aca="false">IF(J36="","",IFERROR(J36/J17,""))</f>
        <v/>
      </c>
      <c r="K55" s="23" t="str">
        <f aca="false">IF(K36="","",IFERROR(K36/K17,""))</f>
        <v/>
      </c>
      <c r="L55" s="23" t="str">
        <f aca="false">IF(L36="","",IFERROR(L36/L17,""))</f>
        <v/>
      </c>
      <c r="M55" s="23" t="str">
        <f aca="false">IF(M36="","",IFERROR(M36/M17,""))</f>
        <v/>
      </c>
    </row>
    <row r="56" customFormat="false" ht="15" hidden="false" customHeight="false" outlineLevel="0" collapsed="false">
      <c r="A56" s="14" t="str">
        <f aca="false">IF('3. Projeção 12 meses'!A19="","",'3. Projeção 12 meses'!A19)</f>
        <v>Canal novo 1  (escreva aqui)</v>
      </c>
      <c r="B56" s="23" t="str">
        <f aca="false">IF(B37="","",IFERROR(B37/B18,""))</f>
        <v/>
      </c>
      <c r="C56" s="23" t="str">
        <f aca="false">IF(C37="","",IFERROR(C37/C18,""))</f>
        <v/>
      </c>
      <c r="D56" s="23" t="str">
        <f aca="false">IF(D37="","",IFERROR(D37/D18,""))</f>
        <v/>
      </c>
      <c r="E56" s="23" t="str">
        <f aca="false">IF(E37="","",IFERROR(E37/E18,""))</f>
        <v/>
      </c>
      <c r="F56" s="23" t="str">
        <f aca="false">IF(F37="","",IFERROR(F37/F18,""))</f>
        <v/>
      </c>
      <c r="G56" s="23" t="str">
        <f aca="false">IF(G37="","",IFERROR(G37/G18,""))</f>
        <v/>
      </c>
      <c r="H56" s="23" t="str">
        <f aca="false">IF(H37="","",IFERROR(H37/H18,""))</f>
        <v/>
      </c>
      <c r="I56" s="23" t="str">
        <f aca="false">IF(I37="","",IFERROR(I37/I18,""))</f>
        <v/>
      </c>
      <c r="J56" s="23" t="str">
        <f aca="false">IF(J37="","",IFERROR(J37/J18,""))</f>
        <v/>
      </c>
      <c r="K56" s="23" t="str">
        <f aca="false">IF(K37="","",IFERROR(K37/K18,""))</f>
        <v/>
      </c>
      <c r="L56" s="23" t="str">
        <f aca="false">IF(L37="","",IFERROR(L37/L18,""))</f>
        <v/>
      </c>
      <c r="M56" s="23" t="str">
        <f aca="false">IF(M37="","",IFERROR(M37/M18,""))</f>
        <v/>
      </c>
    </row>
    <row r="57" customFormat="false" ht="15" hidden="false" customHeight="false" outlineLevel="0" collapsed="false">
      <c r="A57" s="14" t="str">
        <f aca="false">IF('3. Projeção 12 meses'!A20="","",'3. Projeção 12 meses'!A20)</f>
        <v>Canal novo 2  (escreva aqui)</v>
      </c>
      <c r="B57" s="23" t="str">
        <f aca="false">IF(B38="","",IFERROR(B38/B19,""))</f>
        <v/>
      </c>
      <c r="C57" s="23" t="str">
        <f aca="false">IF(C38="","",IFERROR(C38/C19,""))</f>
        <v/>
      </c>
      <c r="D57" s="23" t="str">
        <f aca="false">IF(D38="","",IFERROR(D38/D19,""))</f>
        <v/>
      </c>
      <c r="E57" s="23" t="str">
        <f aca="false">IF(E38="","",IFERROR(E38/E19,""))</f>
        <v/>
      </c>
      <c r="F57" s="23" t="str">
        <f aca="false">IF(F38="","",IFERROR(F38/F19,""))</f>
        <v/>
      </c>
      <c r="G57" s="23" t="str">
        <f aca="false">IF(G38="","",IFERROR(G38/G19,""))</f>
        <v/>
      </c>
      <c r="H57" s="23" t="str">
        <f aca="false">IF(H38="","",IFERROR(H38/H19,""))</f>
        <v/>
      </c>
      <c r="I57" s="23" t="str">
        <f aca="false">IF(I38="","",IFERROR(I38/I19,""))</f>
        <v/>
      </c>
      <c r="J57" s="23" t="str">
        <f aca="false">IF(J38="","",IFERROR(J38/J19,""))</f>
        <v/>
      </c>
      <c r="K57" s="23" t="str">
        <f aca="false">IF(K38="","",IFERROR(K38/K19,""))</f>
        <v/>
      </c>
      <c r="L57" s="23" t="str">
        <f aca="false">IF(L38="","",IFERROR(L38/L19,""))</f>
        <v/>
      </c>
      <c r="M57" s="23" t="str">
        <f aca="false">IF(M38="","",IFERROR(M38/M19,""))</f>
        <v/>
      </c>
    </row>
    <row r="58" customFormat="false" ht="15" hidden="false" customHeight="false" outlineLevel="0" collapsed="false">
      <c r="A58" s="14" t="str">
        <f aca="false">IF('3. Projeção 12 meses'!A21="","",'3. Projeção 12 meses'!A21)</f>
        <v>Canal novo 3  (escreva aqui)</v>
      </c>
      <c r="B58" s="23" t="str">
        <f aca="false">IF(B39="","",IFERROR(B39/B20,""))</f>
        <v/>
      </c>
      <c r="C58" s="23" t="str">
        <f aca="false">IF(C39="","",IFERROR(C39/C20,""))</f>
        <v/>
      </c>
      <c r="D58" s="23" t="str">
        <f aca="false">IF(D39="","",IFERROR(D39/D20,""))</f>
        <v/>
      </c>
      <c r="E58" s="23" t="str">
        <f aca="false">IF(E39="","",IFERROR(E39/E20,""))</f>
        <v/>
      </c>
      <c r="F58" s="23" t="str">
        <f aca="false">IF(F39="","",IFERROR(F39/F20,""))</f>
        <v/>
      </c>
      <c r="G58" s="23" t="str">
        <f aca="false">IF(G39="","",IFERROR(G39/G20,""))</f>
        <v/>
      </c>
      <c r="H58" s="23" t="str">
        <f aca="false">IF(H39="","",IFERROR(H39/H20,""))</f>
        <v/>
      </c>
      <c r="I58" s="23" t="str">
        <f aca="false">IF(I39="","",IFERROR(I39/I20,""))</f>
        <v/>
      </c>
      <c r="J58" s="23" t="str">
        <f aca="false">IF(J39="","",IFERROR(J39/J20,""))</f>
        <v/>
      </c>
      <c r="K58" s="23" t="str">
        <f aca="false">IF(K39="","",IFERROR(K39/K20,""))</f>
        <v/>
      </c>
      <c r="L58" s="23" t="str">
        <f aca="false">IF(L39="","",IFERROR(L39/L20,""))</f>
        <v/>
      </c>
      <c r="M58" s="23" t="str">
        <f aca="false">IF(M39="","",IFERROR(M39/M20,""))</f>
        <v/>
      </c>
    </row>
    <row r="59" customFormat="false" ht="15" hidden="false" customHeight="false" outlineLevel="0" collapsed="false">
      <c r="A59" s="27" t="s">
        <v>66</v>
      </c>
      <c r="B59" s="30" t="n">
        <f aca="false">SUM(B44:B58)</f>
        <v>0</v>
      </c>
      <c r="C59" s="30" t="n">
        <f aca="false">SUM(C44:C58)</f>
        <v>0</v>
      </c>
      <c r="D59" s="30" t="n">
        <f aca="false">SUM(D44:D58)</f>
        <v>0</v>
      </c>
      <c r="E59" s="30" t="n">
        <f aca="false">SUM(E44:E58)</f>
        <v>0</v>
      </c>
      <c r="F59" s="30" t="n">
        <f aca="false">SUM(F44:F58)</f>
        <v>0</v>
      </c>
      <c r="G59" s="30" t="n">
        <f aca="false">SUM(G44:G58)</f>
        <v>0</v>
      </c>
      <c r="H59" s="30" t="n">
        <f aca="false">SUM(H44:H58)</f>
        <v>0</v>
      </c>
      <c r="I59" s="30" t="n">
        <f aca="false">SUM(I44:I58)</f>
        <v>0</v>
      </c>
      <c r="J59" s="30" t="n">
        <f aca="false">SUM(J44:J58)</f>
        <v>0</v>
      </c>
      <c r="K59" s="30" t="n">
        <f aca="false">SUM(K44:K58)</f>
        <v>0</v>
      </c>
      <c r="L59" s="30" t="n">
        <f aca="false">SUM(L44:L58)</f>
        <v>0</v>
      </c>
      <c r="M59" s="30" t="n">
        <f aca="false">SUM(M44:M58)</f>
        <v>0</v>
      </c>
    </row>
    <row r="61" customFormat="false" ht="21.75" hidden="false" customHeight="true" outlineLevel="0" collapsed="false">
      <c r="A61" s="10" t="s">
        <v>151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customFormat="false" ht="15.75" hidden="false" customHeight="true" outlineLevel="0" collapsed="false">
      <c r="A62" s="3" t="s">
        <v>152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27.75" hidden="false" customHeight="true" outlineLevel="0" collapsed="false">
      <c r="A63" s="3" t="s">
        <v>153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customFormat="false" ht="15.75" hidden="false" customHeight="true" outlineLevel="0" collapsed="false">
      <c r="A64" s="3" t="s">
        <v>154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5.75" hidden="false" customHeight="true" outlineLevel="0" collapsed="false">
      <c r="A65" s="3" t="s">
        <v>155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</sheetData>
  <mergeCells count="10">
    <mergeCell ref="A1:M1"/>
    <mergeCell ref="A2:M2"/>
    <mergeCell ref="A4:M4"/>
    <mergeCell ref="A23:M23"/>
    <mergeCell ref="A42:M42"/>
    <mergeCell ref="A61:M61"/>
    <mergeCell ref="A62:M62"/>
    <mergeCell ref="A63:M63"/>
    <mergeCell ref="A64:M64"/>
    <mergeCell ref="A65:M65"/>
  </mergeCells>
  <conditionalFormatting sqref="B44:M58">
    <cfRule type="cellIs" priority="2" operator="greaterThanOrEqual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0.9</formula>
      <formula>0.9999</formula>
    </cfRule>
    <cfRule type="cellIs" priority="4" operator="lessThan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5" min="4" style="0" width="20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33.75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157</v>
      </c>
      <c r="B2" s="2"/>
      <c r="C2" s="2"/>
      <c r="D2" s="2"/>
      <c r="E2" s="2"/>
      <c r="F2" s="2"/>
      <c r="G2" s="2"/>
    </row>
    <row r="4" customFormat="false" ht="42" hidden="false" customHeight="true" outlineLevel="0" collapsed="false">
      <c r="A4" s="3" t="s">
        <v>158</v>
      </c>
      <c r="B4" s="3"/>
      <c r="C4" s="3"/>
      <c r="D4" s="3"/>
      <c r="E4" s="3"/>
      <c r="F4" s="3"/>
      <c r="G4" s="3"/>
    </row>
    <row r="5" customFormat="false" ht="15.75" hidden="false" customHeight="true" outlineLevel="0" collapsed="false">
      <c r="A5" s="65" t="s">
        <v>159</v>
      </c>
      <c r="B5" s="65"/>
      <c r="C5" s="65"/>
      <c r="D5" s="65"/>
      <c r="E5" s="65"/>
      <c r="F5" s="65"/>
      <c r="G5" s="65"/>
    </row>
    <row r="7" customFormat="false" ht="21.75" hidden="false" customHeight="true" outlineLevel="0" collapsed="false">
      <c r="A7" s="5" t="s">
        <v>160</v>
      </c>
      <c r="B7" s="5"/>
      <c r="C7" s="5"/>
      <c r="D7" s="5"/>
      <c r="E7" s="5"/>
      <c r="F7" s="5"/>
      <c r="G7" s="5"/>
    </row>
    <row r="8" customFormat="false" ht="31.5" hidden="false" customHeight="true" outlineLevel="0" collapsed="false">
      <c r="A8" s="6" t="s">
        <v>54</v>
      </c>
      <c r="B8" s="6" t="s">
        <v>161</v>
      </c>
      <c r="C8" s="6" t="s">
        <v>162</v>
      </c>
      <c r="D8" s="6" t="s">
        <v>163</v>
      </c>
      <c r="E8" s="6" t="s">
        <v>164</v>
      </c>
      <c r="F8" s="6" t="s">
        <v>165</v>
      </c>
      <c r="G8" s="6" t="s">
        <v>166</v>
      </c>
    </row>
    <row r="9" customFormat="false" ht="33.75" hidden="false" customHeight="true" outlineLevel="0" collapsed="false">
      <c r="A9" s="66" t="s">
        <v>167</v>
      </c>
      <c r="B9" s="66" t="s">
        <v>168</v>
      </c>
      <c r="C9" s="66" t="s">
        <v>169</v>
      </c>
      <c r="D9" s="66" t="s">
        <v>170</v>
      </c>
      <c r="E9" s="66" t="s">
        <v>171</v>
      </c>
      <c r="F9" s="66" t="s">
        <v>172</v>
      </c>
      <c r="G9" s="66" t="s">
        <v>173</v>
      </c>
    </row>
    <row r="10" customFormat="false" ht="33.75" hidden="false" customHeight="true" outlineLevel="0" collapsed="false">
      <c r="A10" s="66" t="s">
        <v>174</v>
      </c>
      <c r="B10" s="66" t="s">
        <v>175</v>
      </c>
      <c r="C10" s="66" t="s">
        <v>176</v>
      </c>
      <c r="D10" s="66" t="s">
        <v>177</v>
      </c>
      <c r="E10" s="66" t="s">
        <v>178</v>
      </c>
      <c r="F10" s="66" t="s">
        <v>179</v>
      </c>
      <c r="G10" s="66" t="s">
        <v>180</v>
      </c>
    </row>
    <row r="11" customFormat="false" ht="27.75" hidden="false" customHeight="true" outlineLevel="0" collapsed="false">
      <c r="A11" s="67"/>
      <c r="B11" s="67"/>
      <c r="C11" s="67"/>
      <c r="D11" s="67"/>
      <c r="E11" s="67"/>
      <c r="F11" s="67"/>
      <c r="G11" s="67"/>
    </row>
    <row r="12" customFormat="false" ht="27.75" hidden="false" customHeight="true" outlineLevel="0" collapsed="false">
      <c r="A12" s="67"/>
      <c r="B12" s="67"/>
      <c r="C12" s="67"/>
      <c r="D12" s="67"/>
      <c r="E12" s="67"/>
      <c r="F12" s="67"/>
      <c r="G12" s="67"/>
    </row>
    <row r="13" customFormat="false" ht="27.75" hidden="false" customHeight="true" outlineLevel="0" collapsed="false">
      <c r="A13" s="67"/>
      <c r="B13" s="67"/>
      <c r="C13" s="67"/>
      <c r="D13" s="67"/>
      <c r="E13" s="67"/>
      <c r="F13" s="67"/>
      <c r="G13" s="67"/>
    </row>
    <row r="14" customFormat="false" ht="27.75" hidden="false" customHeight="true" outlineLevel="0" collapsed="false">
      <c r="A14" s="67"/>
      <c r="B14" s="67"/>
      <c r="C14" s="67"/>
      <c r="D14" s="67"/>
      <c r="E14" s="67"/>
      <c r="F14" s="67"/>
      <c r="G14" s="67"/>
    </row>
    <row r="15" customFormat="false" ht="27.75" hidden="false" customHeight="true" outlineLevel="0" collapsed="false">
      <c r="A15" s="67"/>
      <c r="B15" s="67"/>
      <c r="C15" s="67"/>
      <c r="D15" s="67"/>
      <c r="E15" s="67"/>
      <c r="F15" s="67"/>
      <c r="G15" s="67"/>
    </row>
    <row r="16" customFormat="false" ht="27.75" hidden="false" customHeight="true" outlineLevel="0" collapsed="false">
      <c r="A16" s="67"/>
      <c r="B16" s="67"/>
      <c r="C16" s="67"/>
      <c r="D16" s="67"/>
      <c r="E16" s="67"/>
      <c r="F16" s="67"/>
      <c r="G16" s="67"/>
    </row>
    <row r="17" customFormat="false" ht="27.75" hidden="false" customHeight="true" outlineLevel="0" collapsed="false">
      <c r="A17" s="67"/>
      <c r="B17" s="67"/>
      <c r="C17" s="67"/>
      <c r="D17" s="67"/>
      <c r="E17" s="67"/>
      <c r="F17" s="67"/>
      <c r="G17" s="67"/>
    </row>
    <row r="18" customFormat="false" ht="27.75" hidden="false" customHeight="true" outlineLevel="0" collapsed="false">
      <c r="A18" s="67"/>
      <c r="B18" s="67"/>
      <c r="C18" s="67"/>
      <c r="D18" s="67"/>
      <c r="E18" s="67"/>
      <c r="F18" s="67"/>
      <c r="G18" s="67"/>
    </row>
    <row r="19" customFormat="false" ht="27.75" hidden="false" customHeight="true" outlineLevel="0" collapsed="false">
      <c r="A19" s="67"/>
      <c r="B19" s="67"/>
      <c r="C19" s="67"/>
      <c r="D19" s="67"/>
      <c r="E19" s="67"/>
      <c r="F19" s="67"/>
      <c r="G19" s="67"/>
    </row>
    <row r="20" customFormat="false" ht="27.75" hidden="false" customHeight="true" outlineLevel="0" collapsed="false">
      <c r="A20" s="67"/>
      <c r="B20" s="67"/>
      <c r="C20" s="67"/>
      <c r="D20" s="67"/>
      <c r="E20" s="67"/>
      <c r="F20" s="67"/>
      <c r="G20" s="67"/>
    </row>
    <row r="22" customFormat="false" ht="21.75" hidden="false" customHeight="true" outlineLevel="0" collapsed="false">
      <c r="A22" s="10" t="s">
        <v>181</v>
      </c>
      <c r="B22" s="10"/>
      <c r="C22" s="10"/>
      <c r="D22" s="10"/>
      <c r="E22" s="10"/>
      <c r="F22" s="10"/>
      <c r="G22" s="10"/>
    </row>
    <row r="23" customFormat="false" ht="31.5" hidden="false" customHeight="true" outlineLevel="0" collapsed="false">
      <c r="A23" s="6" t="s">
        <v>182</v>
      </c>
      <c r="B23" s="6" t="s">
        <v>165</v>
      </c>
      <c r="C23" s="6" t="s">
        <v>183</v>
      </c>
      <c r="D23" s="6" t="s">
        <v>184</v>
      </c>
      <c r="E23" s="6" t="s">
        <v>185</v>
      </c>
      <c r="F23" s="6" t="s">
        <v>186</v>
      </c>
      <c r="G23" s="51"/>
    </row>
    <row r="24" customFormat="false" ht="30" hidden="false" customHeight="true" outlineLevel="0" collapsed="false">
      <c r="A24" s="8" t="s">
        <v>187</v>
      </c>
      <c r="B24" s="8" t="s">
        <v>188</v>
      </c>
      <c r="C24" s="8" t="s">
        <v>189</v>
      </c>
      <c r="D24" s="8" t="s">
        <v>190</v>
      </c>
      <c r="E24" s="67"/>
      <c r="F24" s="67"/>
    </row>
    <row r="25" customFormat="false" ht="30" hidden="false" customHeight="true" outlineLevel="0" collapsed="false">
      <c r="A25" s="8" t="s">
        <v>191</v>
      </c>
      <c r="B25" s="8" t="s">
        <v>192</v>
      </c>
      <c r="C25" s="8" t="s">
        <v>193</v>
      </c>
      <c r="D25" s="8" t="s">
        <v>194</v>
      </c>
      <c r="E25" s="67"/>
      <c r="F25" s="67"/>
    </row>
    <row r="26" customFormat="false" ht="30" hidden="false" customHeight="true" outlineLevel="0" collapsed="false">
      <c r="A26" s="8" t="s">
        <v>195</v>
      </c>
      <c r="B26" s="8" t="s">
        <v>196</v>
      </c>
      <c r="C26" s="8" t="s">
        <v>197</v>
      </c>
      <c r="D26" s="8" t="s">
        <v>198</v>
      </c>
      <c r="E26" s="67"/>
      <c r="F26" s="67"/>
    </row>
    <row r="28" customFormat="false" ht="21.75" hidden="false" customHeight="true" outlineLevel="0" collapsed="false">
      <c r="A28" s="5" t="s">
        <v>199</v>
      </c>
      <c r="B28" s="5"/>
      <c r="C28" s="5"/>
      <c r="D28" s="5"/>
      <c r="E28" s="5"/>
      <c r="F28" s="5"/>
      <c r="G28" s="5"/>
    </row>
    <row r="29" customFormat="false" ht="27.75" hidden="false" customHeight="true" outlineLevel="0" collapsed="false">
      <c r="A29" s="15" t="s">
        <v>200</v>
      </c>
      <c r="B29" s="15"/>
      <c r="C29" s="15"/>
      <c r="D29" s="15"/>
      <c r="E29" s="15"/>
      <c r="F29" s="15"/>
      <c r="G29" s="15"/>
    </row>
    <row r="31" customFormat="false" ht="21.75" hidden="false" customHeight="true" outlineLevel="0" collapsed="false">
      <c r="A31" s="10" t="s">
        <v>201</v>
      </c>
      <c r="B31" s="10"/>
      <c r="C31" s="10"/>
      <c r="D31" s="10"/>
      <c r="E31" s="10"/>
      <c r="F31" s="10"/>
      <c r="G31" s="10"/>
    </row>
    <row r="32" customFormat="false" ht="15.75" hidden="false" customHeight="true" outlineLevel="0" collapsed="false">
      <c r="A32" s="3" t="s">
        <v>202</v>
      </c>
      <c r="B32" s="3"/>
      <c r="C32" s="3"/>
      <c r="D32" s="3"/>
      <c r="E32" s="3"/>
      <c r="F32" s="3"/>
      <c r="G32" s="3"/>
    </row>
    <row r="33" customFormat="false" ht="15.75" hidden="false" customHeight="true" outlineLevel="0" collapsed="false">
      <c r="A33" s="3" t="s">
        <v>203</v>
      </c>
      <c r="B33" s="3"/>
      <c r="C33" s="3"/>
      <c r="D33" s="3"/>
      <c r="E33" s="3"/>
      <c r="F33" s="3"/>
      <c r="G33" s="3"/>
    </row>
    <row r="34" customFormat="false" ht="15.75" hidden="false" customHeight="true" outlineLevel="0" collapsed="false">
      <c r="A34" s="3" t="s">
        <v>204</v>
      </c>
      <c r="B34" s="3"/>
      <c r="C34" s="3"/>
      <c r="D34" s="3"/>
      <c r="E34" s="3"/>
      <c r="F34" s="3"/>
      <c r="G34" s="3"/>
    </row>
    <row r="35" customFormat="false" ht="15.75" hidden="false" customHeight="true" outlineLevel="0" collapsed="false">
      <c r="A35" s="3" t="s">
        <v>205</v>
      </c>
      <c r="B35" s="3"/>
      <c r="C35" s="3"/>
      <c r="D35" s="3"/>
      <c r="E35" s="3"/>
      <c r="F35" s="3"/>
      <c r="G35" s="3"/>
    </row>
    <row r="36" customFormat="false" ht="15.75" hidden="false" customHeight="true" outlineLevel="0" collapsed="false">
      <c r="A36" s="3" t="s">
        <v>206</v>
      </c>
      <c r="B36" s="3"/>
      <c r="C36" s="3"/>
      <c r="D36" s="3"/>
      <c r="E36" s="3"/>
      <c r="F36" s="3"/>
      <c r="G36" s="3"/>
    </row>
    <row r="37" customFormat="false" ht="15.75" hidden="false" customHeight="true" outlineLevel="0" collapsed="false">
      <c r="A37" s="3" t="s">
        <v>207</v>
      </c>
      <c r="B37" s="3"/>
      <c r="C37" s="3"/>
      <c r="D37" s="3"/>
      <c r="E37" s="3"/>
      <c r="F37" s="3"/>
      <c r="G37" s="3"/>
    </row>
    <row r="38" customFormat="false" ht="15.75" hidden="false" customHeight="true" outlineLevel="0" collapsed="false">
      <c r="A38" s="3" t="s">
        <v>208</v>
      </c>
      <c r="B38" s="3"/>
      <c r="C38" s="3"/>
      <c r="D38" s="3"/>
      <c r="E38" s="3"/>
      <c r="F38" s="3"/>
      <c r="G38" s="3"/>
    </row>
  </sheetData>
  <mergeCells count="16">
    <mergeCell ref="A1:G1"/>
    <mergeCell ref="A2:G2"/>
    <mergeCell ref="A4:G4"/>
    <mergeCell ref="A5:G5"/>
    <mergeCell ref="A7:G7"/>
    <mergeCell ref="A22:G22"/>
    <mergeCell ref="A28:G28"/>
    <mergeCell ref="A29:G29"/>
    <mergeCell ref="A31:G31"/>
    <mergeCell ref="A32:G32"/>
    <mergeCell ref="A33:G33"/>
    <mergeCell ref="A34:G34"/>
    <mergeCell ref="A35:G35"/>
    <mergeCell ref="A36:G36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9" min="6" style="0" width="13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10" t="s">
        <v>211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27.75" hidden="false" customHeight="true" outlineLevel="0" collapsed="false">
      <c r="A5" s="3" t="s">
        <v>212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27.75" hidden="false" customHeight="true" outlineLevel="0" collapsed="false">
      <c r="A6" s="3" t="s">
        <v>213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27.75" hidden="false" customHeight="true" outlineLevel="0" collapsed="false">
      <c r="A7" s="3" t="s">
        <v>214</v>
      </c>
      <c r="B7" s="3"/>
      <c r="C7" s="3"/>
      <c r="D7" s="3"/>
      <c r="E7" s="3"/>
      <c r="F7" s="3"/>
      <c r="G7" s="3"/>
      <c r="H7" s="3"/>
      <c r="I7" s="3"/>
      <c r="J7" s="3"/>
      <c r="K7" s="3"/>
    </row>
    <row r="9" customFormat="false" ht="21.75" hidden="false" customHeight="true" outlineLevel="0" collapsed="false">
      <c r="A9" s="5" t="s">
        <v>215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31.5" hidden="false" customHeight="true" outlineLevel="0" collapsed="false">
      <c r="A10" s="6" t="s">
        <v>54</v>
      </c>
      <c r="B10" s="6" t="s">
        <v>216</v>
      </c>
      <c r="C10" s="6" t="s">
        <v>56</v>
      </c>
      <c r="D10" s="6" t="s">
        <v>57</v>
      </c>
      <c r="E10" s="6" t="s">
        <v>58</v>
      </c>
      <c r="F10" s="6" t="s">
        <v>59</v>
      </c>
      <c r="G10" s="6" t="s">
        <v>217</v>
      </c>
      <c r="H10" s="6" t="s">
        <v>218</v>
      </c>
      <c r="I10" s="6" t="s">
        <v>90</v>
      </c>
      <c r="J10" s="6" t="s">
        <v>63</v>
      </c>
      <c r="K10" s="6" t="s">
        <v>64</v>
      </c>
    </row>
    <row r="11" customFormat="false" ht="15" hidden="false" customHeight="false" outlineLevel="0" collapsed="false">
      <c r="A11" s="68" t="s">
        <v>219</v>
      </c>
      <c r="B11" s="69" t="n">
        <v>110</v>
      </c>
      <c r="C11" s="69" t="n">
        <v>22</v>
      </c>
      <c r="D11" s="69" t="n">
        <v>5</v>
      </c>
      <c r="E11" s="70" t="n">
        <v>90000</v>
      </c>
      <c r="F11" s="70" t="n">
        <f aca="false">IFERROR(E11/D11,"")</f>
        <v>18000</v>
      </c>
      <c r="G11" s="71" t="n">
        <f aca="false">IFERROR(C11/B11,"")</f>
        <v>0.2</v>
      </c>
      <c r="H11" s="71" t="n">
        <f aca="false">IFERROR(D11/C11,"")</f>
        <v>0.227272727272727</v>
      </c>
      <c r="I11" s="71" t="n">
        <f aca="false">IFERROR(D11/B11,"")</f>
        <v>0.0454545454545455</v>
      </c>
      <c r="J11" s="72" t="n">
        <f aca="false">IFERROR(E11/B11,"")</f>
        <v>818.181818181818</v>
      </c>
      <c r="K11" s="71" t="n">
        <f aca="false">IFERROR(E11/$E$17,"")</f>
        <v>0.252100840336134</v>
      </c>
    </row>
    <row r="12" customFormat="false" ht="15" hidden="false" customHeight="false" outlineLevel="0" collapsed="false">
      <c r="A12" s="68" t="s">
        <v>220</v>
      </c>
      <c r="B12" s="69" t="n">
        <v>8</v>
      </c>
      <c r="C12" s="69" t="n">
        <v>6</v>
      </c>
      <c r="D12" s="69" t="n">
        <v>4</v>
      </c>
      <c r="E12" s="70" t="n">
        <v>100000</v>
      </c>
      <c r="F12" s="70" t="n">
        <f aca="false">IFERROR(E12/D12,"")</f>
        <v>25000</v>
      </c>
      <c r="G12" s="71" t="n">
        <f aca="false">IFERROR(C12/B12,"")</f>
        <v>0.75</v>
      </c>
      <c r="H12" s="71" t="n">
        <f aca="false">IFERROR(D12/C12,"")</f>
        <v>0.666666666666667</v>
      </c>
      <c r="I12" s="71" t="n">
        <f aca="false">IFERROR(D12/B12,"")</f>
        <v>0.5</v>
      </c>
      <c r="J12" s="72" t="n">
        <f aca="false">IFERROR(E12/B12,"")</f>
        <v>12500</v>
      </c>
      <c r="K12" s="71" t="n">
        <f aca="false">IFERROR(E12/$E$17,"")</f>
        <v>0.280112044817927</v>
      </c>
    </row>
    <row r="13" customFormat="false" ht="15" hidden="false" customHeight="false" outlineLevel="0" collapsed="false">
      <c r="A13" s="68" t="s">
        <v>221</v>
      </c>
      <c r="B13" s="69" t="n">
        <v>140</v>
      </c>
      <c r="C13" s="69" t="n">
        <v>14</v>
      </c>
      <c r="D13" s="69" t="n">
        <v>2</v>
      </c>
      <c r="E13" s="70" t="n">
        <v>44000</v>
      </c>
      <c r="F13" s="70" t="n">
        <f aca="false">IFERROR(E13/D13,"")</f>
        <v>22000</v>
      </c>
      <c r="G13" s="71" t="n">
        <f aca="false">IFERROR(C13/B13,"")</f>
        <v>0.1</v>
      </c>
      <c r="H13" s="71" t="n">
        <f aca="false">IFERROR(D13/C13,"")</f>
        <v>0.142857142857143</v>
      </c>
      <c r="I13" s="71" t="n">
        <f aca="false">IFERROR(D13/B13,"")</f>
        <v>0.0142857142857143</v>
      </c>
      <c r="J13" s="72" t="n">
        <f aca="false">IFERROR(E13/B13,"")</f>
        <v>314.285714285714</v>
      </c>
      <c r="K13" s="71" t="n">
        <f aca="false">IFERROR(E13/$E$17,"")</f>
        <v>0.123249299719888</v>
      </c>
    </row>
    <row r="14" customFormat="false" ht="15" hidden="false" customHeight="false" outlineLevel="0" collapsed="false">
      <c r="A14" s="68" t="s">
        <v>222</v>
      </c>
      <c r="B14" s="69" t="n">
        <v>20</v>
      </c>
      <c r="C14" s="69" t="n">
        <v>10</v>
      </c>
      <c r="D14" s="69" t="n">
        <v>5</v>
      </c>
      <c r="E14" s="70" t="n">
        <v>60000</v>
      </c>
      <c r="F14" s="70" t="n">
        <f aca="false">IFERROR(E14/D14,"")</f>
        <v>12000</v>
      </c>
      <c r="G14" s="71" t="n">
        <f aca="false">IFERROR(C14/B14,"")</f>
        <v>0.5</v>
      </c>
      <c r="H14" s="71" t="n">
        <f aca="false">IFERROR(D14/C14,"")</f>
        <v>0.5</v>
      </c>
      <c r="I14" s="71" t="n">
        <f aca="false">IFERROR(D14/B14,"")</f>
        <v>0.25</v>
      </c>
      <c r="J14" s="72" t="n">
        <f aca="false">IFERROR(E14/B14,"")</f>
        <v>3000</v>
      </c>
      <c r="K14" s="71" t="n">
        <f aca="false">IFERROR(E14/$E$17,"")</f>
        <v>0.168067226890756</v>
      </c>
    </row>
    <row r="15" customFormat="false" ht="15" hidden="false" customHeight="false" outlineLevel="0" collapsed="false">
      <c r="A15" s="68" t="s">
        <v>223</v>
      </c>
      <c r="B15" s="69" t="n">
        <v>12</v>
      </c>
      <c r="C15" s="69" t="n">
        <v>7</v>
      </c>
      <c r="D15" s="69" t="n">
        <v>2</v>
      </c>
      <c r="E15" s="70" t="n">
        <v>44000</v>
      </c>
      <c r="F15" s="70" t="n">
        <f aca="false">IFERROR(E15/D15,"")</f>
        <v>22000</v>
      </c>
      <c r="G15" s="71" t="n">
        <f aca="false">IFERROR(C15/B15,"")</f>
        <v>0.583333333333333</v>
      </c>
      <c r="H15" s="71" t="n">
        <f aca="false">IFERROR(D15/C15,"")</f>
        <v>0.285714285714286</v>
      </c>
      <c r="I15" s="71" t="n">
        <f aca="false">IFERROR(D15/B15,"")</f>
        <v>0.166666666666667</v>
      </c>
      <c r="J15" s="72" t="n">
        <f aca="false">IFERROR(E15/B15,"")</f>
        <v>3666.66666666667</v>
      </c>
      <c r="K15" s="71" t="n">
        <f aca="false">IFERROR(E15/$E$17,"")</f>
        <v>0.123249299719888</v>
      </c>
    </row>
    <row r="16" customFormat="false" ht="15" hidden="false" customHeight="false" outlineLevel="0" collapsed="false">
      <c r="A16" s="68" t="s">
        <v>224</v>
      </c>
      <c r="B16" s="69" t="n">
        <v>30</v>
      </c>
      <c r="C16" s="69" t="n">
        <v>6</v>
      </c>
      <c r="D16" s="69" t="n">
        <v>1</v>
      </c>
      <c r="E16" s="70" t="n">
        <v>19000</v>
      </c>
      <c r="F16" s="70" t="n">
        <f aca="false">IFERROR(E16/D16,"")</f>
        <v>19000</v>
      </c>
      <c r="G16" s="71" t="n">
        <f aca="false">IFERROR(C16/B16,"")</f>
        <v>0.2</v>
      </c>
      <c r="H16" s="71" t="n">
        <f aca="false">IFERROR(D16/C16,"")</f>
        <v>0.166666666666667</v>
      </c>
      <c r="I16" s="71" t="n">
        <f aca="false">IFERROR(D16/B16,"")</f>
        <v>0.0333333333333333</v>
      </c>
      <c r="J16" s="72" t="n">
        <f aca="false">IFERROR(E16/B16,"")</f>
        <v>633.333333333333</v>
      </c>
      <c r="K16" s="71" t="n">
        <f aca="false">IFERROR(E16/$E$17,"")</f>
        <v>0.0532212885154062</v>
      </c>
    </row>
    <row r="17" customFormat="false" ht="15" hidden="false" customHeight="false" outlineLevel="0" collapsed="false">
      <c r="A17" s="27" t="s">
        <v>66</v>
      </c>
      <c r="B17" s="28" t="n">
        <f aca="false">SUM(B11:B16)</f>
        <v>320</v>
      </c>
      <c r="C17" s="28" t="n">
        <f aca="false">SUM(C11:C16)</f>
        <v>65</v>
      </c>
      <c r="D17" s="28" t="n">
        <f aca="false">SUM(D11:D16)</f>
        <v>19</v>
      </c>
      <c r="E17" s="29" t="n">
        <f aca="false">SUM(E11:E16)</f>
        <v>357000</v>
      </c>
      <c r="F17" s="29" t="n">
        <f aca="false">IFERROR(E17/D17,"")</f>
        <v>18789.4736842105</v>
      </c>
      <c r="G17" s="30" t="n">
        <f aca="false">IFERROR(C17/B17,"")</f>
        <v>0.203125</v>
      </c>
      <c r="H17" s="30" t="n">
        <f aca="false">IFERROR(D17/C17,"")</f>
        <v>0.292307692307692</v>
      </c>
      <c r="I17" s="30" t="n">
        <f aca="false">IFERROR(D17/B17,"")</f>
        <v>0.059375</v>
      </c>
      <c r="J17" s="31" t="n">
        <f aca="false">IFERROR(E17/B17,"")</f>
        <v>1115.625</v>
      </c>
      <c r="K17" s="30" t="n">
        <f aca="false">SUM(K11:K16)</f>
        <v>1</v>
      </c>
    </row>
    <row r="19" customFormat="false" ht="21.75" hidden="false" customHeight="true" outlineLevel="0" collapsed="false">
      <c r="A19" s="10" t="s">
        <v>225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39" hidden="false" customHeight="true" outlineLevel="0" collapsed="false">
      <c r="A20" s="58" t="s">
        <v>226</v>
      </c>
      <c r="B20" s="59" t="s">
        <v>227</v>
      </c>
      <c r="C20" s="59"/>
      <c r="D20" s="59"/>
      <c r="E20" s="59"/>
      <c r="F20" s="59"/>
      <c r="G20" s="59"/>
      <c r="H20" s="59"/>
      <c r="I20" s="59"/>
      <c r="J20" s="59"/>
      <c r="K20" s="59"/>
    </row>
    <row r="21" customFormat="false" ht="39" hidden="false" customHeight="true" outlineLevel="0" collapsed="false">
      <c r="A21" s="58" t="s">
        <v>228</v>
      </c>
      <c r="B21" s="59" t="s">
        <v>229</v>
      </c>
      <c r="C21" s="59"/>
      <c r="D21" s="59"/>
      <c r="E21" s="59"/>
      <c r="F21" s="59"/>
      <c r="G21" s="59"/>
      <c r="H21" s="59"/>
      <c r="I21" s="59"/>
      <c r="J21" s="59"/>
      <c r="K21" s="59"/>
    </row>
    <row r="22" customFormat="false" ht="39" hidden="false" customHeight="true" outlineLevel="0" collapsed="false">
      <c r="A22" s="58" t="s">
        <v>230</v>
      </c>
      <c r="B22" s="59" t="s">
        <v>231</v>
      </c>
      <c r="C22" s="59"/>
      <c r="D22" s="59"/>
      <c r="E22" s="59"/>
      <c r="F22" s="59"/>
      <c r="G22" s="59"/>
      <c r="H22" s="59"/>
      <c r="I22" s="59"/>
      <c r="J22" s="59"/>
      <c r="K22" s="59"/>
    </row>
    <row r="23" customFormat="false" ht="39" hidden="false" customHeight="true" outlineLevel="0" collapsed="false">
      <c r="A23" s="58" t="s">
        <v>232</v>
      </c>
      <c r="B23" s="59" t="s">
        <v>233</v>
      </c>
      <c r="C23" s="59"/>
      <c r="D23" s="59"/>
      <c r="E23" s="59"/>
      <c r="F23" s="59"/>
      <c r="G23" s="59"/>
      <c r="H23" s="59"/>
      <c r="I23" s="59"/>
      <c r="J23" s="59"/>
      <c r="K23" s="59"/>
    </row>
    <row r="24" customFormat="false" ht="39" hidden="false" customHeight="true" outlineLevel="0" collapsed="false">
      <c r="A24" s="58" t="s">
        <v>234</v>
      </c>
      <c r="B24" s="59" t="s">
        <v>235</v>
      </c>
      <c r="C24" s="59"/>
      <c r="D24" s="59"/>
      <c r="E24" s="59"/>
      <c r="F24" s="59"/>
      <c r="G24" s="59"/>
      <c r="H24" s="59"/>
      <c r="I24" s="59"/>
      <c r="J24" s="59"/>
      <c r="K24" s="59"/>
    </row>
    <row r="25" customFormat="false" ht="39" hidden="false" customHeight="true" outlineLevel="0" collapsed="false">
      <c r="A25" s="58" t="s">
        <v>236</v>
      </c>
      <c r="B25" s="59" t="s">
        <v>237</v>
      </c>
      <c r="C25" s="59"/>
      <c r="D25" s="59"/>
      <c r="E25" s="59"/>
      <c r="F25" s="59"/>
      <c r="G25" s="59"/>
      <c r="H25" s="59"/>
      <c r="I25" s="59"/>
      <c r="J25" s="59"/>
      <c r="K25" s="59"/>
    </row>
    <row r="27" customFormat="false" ht="21.75" hidden="false" customHeight="true" outlineLevel="0" collapsed="false">
      <c r="A27" s="5" t="s">
        <v>238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27.75" hidden="false" customHeight="true" outlineLevel="0" collapsed="false">
      <c r="A28" s="3" t="s">
        <v>239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27.75" hidden="false" customHeight="true" outlineLevel="0" collapsed="false">
      <c r="A29" s="3" t="s">
        <v>240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27.75" hidden="false" customHeight="true" outlineLevel="0" collapsed="false">
      <c r="A30" s="3" t="s">
        <v>241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27.75" hidden="false" customHeight="true" outlineLevel="0" collapsed="false">
      <c r="A31" s="3" t="s">
        <v>242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3" customFormat="false" ht="21.75" hidden="false" customHeight="true" outlineLevel="0" collapsed="false">
      <c r="A33" s="10" t="s">
        <v>243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customFormat="false" ht="31.5" hidden="false" customHeight="true" outlineLevel="0" collapsed="false">
      <c r="A34" s="6" t="s">
        <v>244</v>
      </c>
      <c r="B34" s="6" t="s">
        <v>245</v>
      </c>
      <c r="C34" s="6" t="s">
        <v>246</v>
      </c>
      <c r="D34" s="6" t="s">
        <v>247</v>
      </c>
      <c r="E34" s="6" t="s">
        <v>248</v>
      </c>
      <c r="F34" s="6" t="s">
        <v>249</v>
      </c>
      <c r="G34" s="6"/>
      <c r="H34" s="6"/>
      <c r="I34" s="6"/>
      <c r="J34" s="6"/>
      <c r="K34" s="6"/>
    </row>
    <row r="35" customFormat="false" ht="31.5" hidden="false" customHeight="true" outlineLevel="0" collapsed="false">
      <c r="A35" s="32" t="s">
        <v>250</v>
      </c>
      <c r="B35" s="73" t="s">
        <v>251</v>
      </c>
      <c r="C35" s="73" t="s">
        <v>252</v>
      </c>
      <c r="D35" s="73" t="s">
        <v>253</v>
      </c>
      <c r="E35" s="74" t="n">
        <v>100000</v>
      </c>
      <c r="F35" s="35" t="s">
        <v>254</v>
      </c>
      <c r="G35" s="35"/>
      <c r="H35" s="35"/>
      <c r="I35" s="35"/>
      <c r="J35" s="35"/>
      <c r="K35" s="35"/>
    </row>
    <row r="36" customFormat="false" ht="31.5" hidden="false" customHeight="true" outlineLevel="0" collapsed="false">
      <c r="A36" s="32" t="s">
        <v>255</v>
      </c>
      <c r="B36" s="73" t="s">
        <v>256</v>
      </c>
      <c r="C36" s="73" t="s">
        <v>257</v>
      </c>
      <c r="D36" s="73" t="s">
        <v>258</v>
      </c>
      <c r="E36" s="74" t="n">
        <v>67500</v>
      </c>
      <c r="F36" s="35" t="s">
        <v>259</v>
      </c>
      <c r="G36" s="35"/>
      <c r="H36" s="35"/>
      <c r="I36" s="35"/>
      <c r="J36" s="35"/>
      <c r="K36" s="35"/>
    </row>
    <row r="37" customFormat="false" ht="31.5" hidden="false" customHeight="true" outlineLevel="0" collapsed="false">
      <c r="A37" s="32" t="s">
        <v>260</v>
      </c>
      <c r="B37" s="73" t="s">
        <v>256</v>
      </c>
      <c r="C37" s="73" t="s">
        <v>261</v>
      </c>
      <c r="D37" s="73" t="s">
        <v>262</v>
      </c>
      <c r="E37" s="74" t="n">
        <v>48400</v>
      </c>
      <c r="F37" s="35" t="s">
        <v>263</v>
      </c>
      <c r="G37" s="35"/>
      <c r="H37" s="35"/>
      <c r="I37" s="35"/>
      <c r="J37" s="35"/>
      <c r="K37" s="35"/>
    </row>
    <row r="38" customFormat="false" ht="22.35" hidden="false" customHeight="true" outlineLevel="0" collapsed="false">
      <c r="A38" s="27" t="s">
        <v>264</v>
      </c>
      <c r="B38" s="51"/>
      <c r="C38" s="51"/>
      <c r="D38" s="51"/>
      <c r="E38" s="29" t="n">
        <f aca="false">SUM(E35:E37)</f>
        <v>215900</v>
      </c>
      <c r="F38" s="75" t="s">
        <v>265</v>
      </c>
      <c r="G38" s="75"/>
      <c r="H38" s="75"/>
      <c r="I38" s="75"/>
      <c r="J38" s="75"/>
      <c r="K38" s="75"/>
    </row>
    <row r="40" customFormat="false" ht="21.75" hidden="false" customHeight="true" outlineLevel="0" collapsed="false">
      <c r="A40" s="5" t="s">
        <v>266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customFormat="false" ht="55.5" hidden="false" customHeight="true" outlineLevel="0" collapsed="false">
      <c r="A41" s="15" t="s">
        <v>267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</sheetData>
  <mergeCells count="27">
    <mergeCell ref="A1:K1"/>
    <mergeCell ref="A2:K2"/>
    <mergeCell ref="A4:K4"/>
    <mergeCell ref="A5:K5"/>
    <mergeCell ref="A6:K6"/>
    <mergeCell ref="A7:K7"/>
    <mergeCell ref="A9:K9"/>
    <mergeCell ref="A19:K19"/>
    <mergeCell ref="B20:K20"/>
    <mergeCell ref="B21:K21"/>
    <mergeCell ref="B22:K22"/>
    <mergeCell ref="B23:K23"/>
    <mergeCell ref="B24:K24"/>
    <mergeCell ref="B25:K25"/>
    <mergeCell ref="A27:K27"/>
    <mergeCell ref="A28:K28"/>
    <mergeCell ref="A29:K29"/>
    <mergeCell ref="A30:K30"/>
    <mergeCell ref="A31:K31"/>
    <mergeCell ref="A33:K33"/>
    <mergeCell ref="F34:K34"/>
    <mergeCell ref="F35:K35"/>
    <mergeCell ref="F36:K36"/>
    <mergeCell ref="F37:K37"/>
    <mergeCell ref="F38:K38"/>
    <mergeCell ref="A40:K40"/>
    <mergeCell ref="A41:K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9" min="6" style="0" width="13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269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10" t="s">
        <v>211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27.75" hidden="false" customHeight="true" outlineLevel="0" collapsed="false">
      <c r="A5" s="3" t="s">
        <v>270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27.75" hidden="false" customHeight="true" outlineLevel="0" collapsed="false">
      <c r="A6" s="3" t="s">
        <v>271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42" hidden="false" customHeight="true" outlineLevel="0" collapsed="false">
      <c r="A7" s="3" t="s">
        <v>272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9" customFormat="false" ht="21.75" hidden="false" customHeight="true" outlineLevel="0" collapsed="false">
      <c r="A9" s="5" t="s">
        <v>215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31.5" hidden="false" customHeight="true" outlineLevel="0" collapsed="false">
      <c r="A10" s="6" t="s">
        <v>54</v>
      </c>
      <c r="B10" s="6" t="s">
        <v>273</v>
      </c>
      <c r="C10" s="6" t="s">
        <v>274</v>
      </c>
      <c r="D10" s="6" t="s">
        <v>57</v>
      </c>
      <c r="E10" s="6" t="s">
        <v>58</v>
      </c>
      <c r="F10" s="6" t="s">
        <v>59</v>
      </c>
      <c r="G10" s="6" t="s">
        <v>275</v>
      </c>
      <c r="H10" s="6" t="s">
        <v>218</v>
      </c>
      <c r="I10" s="6" t="s">
        <v>90</v>
      </c>
      <c r="J10" s="6" t="s">
        <v>63</v>
      </c>
      <c r="K10" s="6" t="s">
        <v>64</v>
      </c>
    </row>
    <row r="11" customFormat="false" ht="15" hidden="false" customHeight="false" outlineLevel="0" collapsed="false">
      <c r="A11" s="68" t="s">
        <v>276</v>
      </c>
      <c r="B11" s="69" t="n">
        <v>1400</v>
      </c>
      <c r="C11" s="69" t="n">
        <v>560</v>
      </c>
      <c r="D11" s="69" t="n">
        <v>224</v>
      </c>
      <c r="E11" s="70" t="n">
        <v>71680</v>
      </c>
      <c r="F11" s="70" t="n">
        <f aca="false">IFERROR(E11/D11,"")</f>
        <v>320</v>
      </c>
      <c r="G11" s="71" t="n">
        <f aca="false">IFERROR(C11/B11,"")</f>
        <v>0.4</v>
      </c>
      <c r="H11" s="71" t="n">
        <f aca="false">IFERROR(D11/C11,"")</f>
        <v>0.4</v>
      </c>
      <c r="I11" s="71" t="n">
        <f aca="false">IFERROR(D11/B11,"")</f>
        <v>0.16</v>
      </c>
      <c r="J11" s="72" t="n">
        <f aca="false">IFERROR(E11/B11,"")</f>
        <v>51.2</v>
      </c>
      <c r="K11" s="71" t="n">
        <f aca="false">IFERROR(E11/$E$17,"")</f>
        <v>0.504540015485324</v>
      </c>
    </row>
    <row r="12" customFormat="false" ht="15" hidden="false" customHeight="false" outlineLevel="0" collapsed="false">
      <c r="A12" s="68" t="s">
        <v>277</v>
      </c>
      <c r="B12" s="69" t="n">
        <v>260</v>
      </c>
      <c r="C12" s="69" t="n">
        <v>130</v>
      </c>
      <c r="D12" s="69" t="n">
        <v>78</v>
      </c>
      <c r="E12" s="70" t="n">
        <v>35100</v>
      </c>
      <c r="F12" s="70" t="n">
        <f aca="false">IFERROR(E12/D12,"")</f>
        <v>450</v>
      </c>
      <c r="G12" s="71" t="n">
        <f aca="false">IFERROR(C12/B12,"")</f>
        <v>0.5</v>
      </c>
      <c r="H12" s="71" t="n">
        <f aca="false">IFERROR(D12/C12,"")</f>
        <v>0.6</v>
      </c>
      <c r="I12" s="71" t="n">
        <f aca="false">IFERROR(D12/B12,"")</f>
        <v>0.3</v>
      </c>
      <c r="J12" s="72" t="n">
        <f aca="false">IFERROR(E12/B12,"")</f>
        <v>135</v>
      </c>
      <c r="K12" s="71" t="n">
        <f aca="false">IFERROR(E12/$E$17,"")</f>
        <v>0.247061307806011</v>
      </c>
    </row>
    <row r="13" customFormat="false" ht="15" hidden="false" customHeight="false" outlineLevel="0" collapsed="false">
      <c r="A13" s="68" t="s">
        <v>278</v>
      </c>
      <c r="B13" s="69" t="n">
        <v>180</v>
      </c>
      <c r="C13" s="69" t="n">
        <v>72</v>
      </c>
      <c r="D13" s="69" t="n">
        <v>25</v>
      </c>
      <c r="E13" s="70" t="n">
        <v>8750</v>
      </c>
      <c r="F13" s="70" t="n">
        <f aca="false">IFERROR(E13/D13,"")</f>
        <v>350</v>
      </c>
      <c r="G13" s="71" t="n">
        <f aca="false">IFERROR(C13/B13,"")</f>
        <v>0.4</v>
      </c>
      <c r="H13" s="71" t="n">
        <f aca="false">IFERROR(D13/C13,"")</f>
        <v>0.347222222222222</v>
      </c>
      <c r="I13" s="71" t="n">
        <f aca="false">IFERROR(D13/B13,"")</f>
        <v>0.138888888888889</v>
      </c>
      <c r="J13" s="72" t="n">
        <f aca="false">IFERROR(E13/B13,"")</f>
        <v>48.6111111111111</v>
      </c>
      <c r="K13" s="71" t="n">
        <f aca="false">IFERROR(E13/$E$17,"")</f>
        <v>0.0615893573590484</v>
      </c>
    </row>
    <row r="14" customFormat="false" ht="15" hidden="false" customHeight="false" outlineLevel="0" collapsed="false">
      <c r="A14" s="68" t="s">
        <v>279</v>
      </c>
      <c r="B14" s="69" t="n">
        <v>40</v>
      </c>
      <c r="C14" s="69" t="n">
        <v>28</v>
      </c>
      <c r="D14" s="69" t="n">
        <v>18</v>
      </c>
      <c r="E14" s="70" t="n">
        <v>7560</v>
      </c>
      <c r="F14" s="70" t="n">
        <f aca="false">IFERROR(E14/D14,"")</f>
        <v>420</v>
      </c>
      <c r="G14" s="71" t="n">
        <f aca="false">IFERROR(C14/B14,"")</f>
        <v>0.7</v>
      </c>
      <c r="H14" s="71" t="n">
        <f aca="false">IFERROR(D14/C14,"")</f>
        <v>0.642857142857143</v>
      </c>
      <c r="I14" s="71" t="n">
        <f aca="false">IFERROR(D14/B14,"")</f>
        <v>0.45</v>
      </c>
      <c r="J14" s="72" t="n">
        <f aca="false">IFERROR(E14/B14,"")</f>
        <v>189</v>
      </c>
      <c r="K14" s="71" t="n">
        <f aca="false">IFERROR(E14/$E$17,"")</f>
        <v>0.0532132047582178</v>
      </c>
    </row>
    <row r="15" customFormat="false" ht="15" hidden="false" customHeight="false" outlineLevel="0" collapsed="false">
      <c r="A15" s="68" t="s">
        <v>280</v>
      </c>
      <c r="B15" s="69" t="n">
        <v>12</v>
      </c>
      <c r="C15" s="69" t="n">
        <v>6</v>
      </c>
      <c r="D15" s="69" t="n">
        <v>3</v>
      </c>
      <c r="E15" s="70" t="n">
        <v>12600</v>
      </c>
      <c r="F15" s="70" t="n">
        <f aca="false">IFERROR(E15/D15,"")</f>
        <v>4200</v>
      </c>
      <c r="G15" s="71" t="n">
        <f aca="false">IFERROR(C15/B15,"")</f>
        <v>0.5</v>
      </c>
      <c r="H15" s="71" t="n">
        <f aca="false">IFERROR(D15/C15,"")</f>
        <v>0.5</v>
      </c>
      <c r="I15" s="71" t="n">
        <f aca="false">IFERROR(D15/B15,"")</f>
        <v>0.25</v>
      </c>
      <c r="J15" s="72" t="n">
        <f aca="false">IFERROR(E15/B15,"")</f>
        <v>1050</v>
      </c>
      <c r="K15" s="71" t="n">
        <f aca="false">IFERROR(E15/$E$17,"")</f>
        <v>0.0886886745970296</v>
      </c>
    </row>
    <row r="16" customFormat="false" ht="15" hidden="false" customHeight="false" outlineLevel="0" collapsed="false">
      <c r="A16" s="68" t="s">
        <v>281</v>
      </c>
      <c r="B16" s="69" t="n">
        <v>900</v>
      </c>
      <c r="C16" s="69" t="n">
        <v>90</v>
      </c>
      <c r="D16" s="69" t="n">
        <v>22</v>
      </c>
      <c r="E16" s="70" t="n">
        <v>6380</v>
      </c>
      <c r="F16" s="70" t="n">
        <f aca="false">IFERROR(E16/D16,"")</f>
        <v>290</v>
      </c>
      <c r="G16" s="71" t="n">
        <f aca="false">IFERROR(C16/B16,"")</f>
        <v>0.1</v>
      </c>
      <c r="H16" s="71" t="n">
        <f aca="false">IFERROR(D16/C16,"")</f>
        <v>0.244444444444444</v>
      </c>
      <c r="I16" s="71" t="n">
        <f aca="false">IFERROR(D16/B16,"")</f>
        <v>0.0244444444444444</v>
      </c>
      <c r="J16" s="72" t="n">
        <f aca="false">IFERROR(E16/B16,"")</f>
        <v>7.08888888888889</v>
      </c>
      <c r="K16" s="71" t="n">
        <f aca="false">IFERROR(E16/$E$17,"")</f>
        <v>0.044907439994369</v>
      </c>
    </row>
    <row r="17" customFormat="false" ht="15" hidden="false" customHeight="false" outlineLevel="0" collapsed="false">
      <c r="A17" s="27" t="s">
        <v>66</v>
      </c>
      <c r="B17" s="28" t="n">
        <f aca="false">SUM(B11:B16)</f>
        <v>2792</v>
      </c>
      <c r="C17" s="28" t="n">
        <f aca="false">SUM(C11:C16)</f>
        <v>886</v>
      </c>
      <c r="D17" s="28" t="n">
        <f aca="false">SUM(D11:D16)</f>
        <v>370</v>
      </c>
      <c r="E17" s="29" t="n">
        <f aca="false">SUM(E11:E16)</f>
        <v>142070</v>
      </c>
      <c r="F17" s="29" t="n">
        <f aca="false">IFERROR(E17/D17,"")</f>
        <v>383.972972972973</v>
      </c>
      <c r="G17" s="30" t="n">
        <f aca="false">IFERROR(C17/B17,"")</f>
        <v>0.317335243553009</v>
      </c>
      <c r="H17" s="30" t="n">
        <f aca="false">IFERROR(D17/C17,"")</f>
        <v>0.417607223476298</v>
      </c>
      <c r="I17" s="30" t="n">
        <f aca="false">IFERROR(D17/B17,"")</f>
        <v>0.132521489971347</v>
      </c>
      <c r="J17" s="31" t="n">
        <f aca="false">IFERROR(E17/B17,"")</f>
        <v>50.884670487106</v>
      </c>
      <c r="K17" s="30" t="n">
        <f aca="false">SUM(K11:K16)</f>
        <v>1</v>
      </c>
    </row>
    <row r="19" customFormat="false" ht="21.75" hidden="false" customHeight="true" outlineLevel="0" collapsed="false">
      <c r="A19" s="10" t="s">
        <v>225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39" hidden="false" customHeight="true" outlineLevel="0" collapsed="false">
      <c r="A20" s="58" t="s">
        <v>282</v>
      </c>
      <c r="B20" s="59" t="s">
        <v>283</v>
      </c>
      <c r="C20" s="59"/>
      <c r="D20" s="59"/>
      <c r="E20" s="59"/>
      <c r="F20" s="59"/>
      <c r="G20" s="59"/>
      <c r="H20" s="59"/>
      <c r="I20" s="59"/>
      <c r="J20" s="59"/>
      <c r="K20" s="59"/>
    </row>
    <row r="21" customFormat="false" ht="39" hidden="false" customHeight="true" outlineLevel="0" collapsed="false">
      <c r="A21" s="58" t="s">
        <v>284</v>
      </c>
      <c r="B21" s="59" t="s">
        <v>285</v>
      </c>
      <c r="C21" s="59"/>
      <c r="D21" s="59"/>
      <c r="E21" s="59"/>
      <c r="F21" s="59"/>
      <c r="G21" s="59"/>
      <c r="H21" s="59"/>
      <c r="I21" s="59"/>
      <c r="J21" s="59"/>
      <c r="K21" s="59"/>
    </row>
    <row r="22" customFormat="false" ht="39" hidden="false" customHeight="true" outlineLevel="0" collapsed="false">
      <c r="A22" s="58" t="s">
        <v>286</v>
      </c>
      <c r="B22" s="59" t="s">
        <v>287</v>
      </c>
      <c r="C22" s="59"/>
      <c r="D22" s="59"/>
      <c r="E22" s="59"/>
      <c r="F22" s="59"/>
      <c r="G22" s="59"/>
      <c r="H22" s="59"/>
      <c r="I22" s="59"/>
      <c r="J22" s="59"/>
      <c r="K22" s="59"/>
    </row>
    <row r="23" customFormat="false" ht="27.75" hidden="false" customHeight="true" outlineLevel="0" collapsed="false">
      <c r="A23" s="58" t="s">
        <v>288</v>
      </c>
      <c r="B23" s="59" t="s">
        <v>289</v>
      </c>
      <c r="C23" s="59"/>
      <c r="D23" s="59"/>
      <c r="E23" s="59"/>
      <c r="F23" s="59"/>
      <c r="G23" s="59"/>
      <c r="H23" s="59"/>
      <c r="I23" s="59"/>
      <c r="J23" s="59"/>
      <c r="K23" s="59"/>
    </row>
    <row r="24" customFormat="false" ht="39" hidden="false" customHeight="true" outlineLevel="0" collapsed="false">
      <c r="A24" s="58" t="s">
        <v>290</v>
      </c>
      <c r="B24" s="59" t="s">
        <v>291</v>
      </c>
      <c r="C24" s="59"/>
      <c r="D24" s="59"/>
      <c r="E24" s="59"/>
      <c r="F24" s="59"/>
      <c r="G24" s="59"/>
      <c r="H24" s="59"/>
      <c r="I24" s="59"/>
      <c r="J24" s="59"/>
      <c r="K24" s="59"/>
    </row>
    <row r="25" customFormat="false" ht="39" hidden="false" customHeight="true" outlineLevel="0" collapsed="false">
      <c r="A25" s="58" t="s">
        <v>236</v>
      </c>
      <c r="B25" s="59" t="s">
        <v>292</v>
      </c>
      <c r="C25" s="59"/>
      <c r="D25" s="59"/>
      <c r="E25" s="59"/>
      <c r="F25" s="59"/>
      <c r="G25" s="59"/>
      <c r="H25" s="59"/>
      <c r="I25" s="59"/>
      <c r="J25" s="59"/>
      <c r="K25" s="59"/>
    </row>
    <row r="27" customFormat="false" ht="21.75" hidden="false" customHeight="true" outlineLevel="0" collapsed="false">
      <c r="A27" s="5" t="s">
        <v>238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27.75" hidden="false" customHeight="true" outlineLevel="0" collapsed="false">
      <c r="A28" s="3" t="s">
        <v>293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27.75" hidden="false" customHeight="true" outlineLevel="0" collapsed="false">
      <c r="A29" s="3" t="s">
        <v>294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27.75" hidden="false" customHeight="true" outlineLevel="0" collapsed="false">
      <c r="A30" s="3" t="s">
        <v>295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.75" hidden="false" customHeight="true" outlineLevel="0" collapsed="false">
      <c r="A31" s="3" t="s">
        <v>296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3" customFormat="false" ht="21.75" hidden="false" customHeight="true" outlineLevel="0" collapsed="false">
      <c r="A33" s="10" t="s">
        <v>243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customFormat="false" ht="31.5" hidden="false" customHeight="true" outlineLevel="0" collapsed="false">
      <c r="A34" s="6" t="s">
        <v>244</v>
      </c>
      <c r="B34" s="6" t="s">
        <v>245</v>
      </c>
      <c r="C34" s="6" t="s">
        <v>246</v>
      </c>
      <c r="D34" s="6" t="s">
        <v>247</v>
      </c>
      <c r="E34" s="6" t="s">
        <v>248</v>
      </c>
      <c r="F34" s="6" t="s">
        <v>249</v>
      </c>
      <c r="G34" s="6"/>
      <c r="H34" s="6"/>
      <c r="I34" s="6"/>
      <c r="J34" s="6"/>
      <c r="K34" s="6"/>
    </row>
    <row r="35" customFormat="false" ht="31.5" hidden="false" customHeight="true" outlineLevel="0" collapsed="false">
      <c r="A35" s="32" t="s">
        <v>297</v>
      </c>
      <c r="B35" s="73" t="s">
        <v>256</v>
      </c>
      <c r="C35" s="73" t="s">
        <v>298</v>
      </c>
      <c r="D35" s="73" t="s">
        <v>299</v>
      </c>
      <c r="E35" s="74" t="n">
        <v>8960</v>
      </c>
      <c r="F35" s="35" t="s">
        <v>300</v>
      </c>
      <c r="G35" s="35"/>
      <c r="H35" s="35"/>
      <c r="I35" s="35"/>
      <c r="J35" s="35"/>
      <c r="K35" s="35"/>
    </row>
    <row r="36" customFormat="false" ht="31.5" hidden="false" customHeight="true" outlineLevel="0" collapsed="false">
      <c r="A36" s="32" t="s">
        <v>301</v>
      </c>
      <c r="B36" s="73" t="s">
        <v>251</v>
      </c>
      <c r="C36" s="73" t="s">
        <v>302</v>
      </c>
      <c r="D36" s="73" t="s">
        <v>303</v>
      </c>
      <c r="E36" s="74" t="n">
        <v>12600</v>
      </c>
      <c r="F36" s="35" t="s">
        <v>304</v>
      </c>
      <c r="G36" s="35"/>
      <c r="H36" s="35"/>
      <c r="I36" s="35"/>
      <c r="J36" s="35"/>
      <c r="K36" s="35"/>
    </row>
    <row r="37" customFormat="false" ht="31.5" hidden="false" customHeight="true" outlineLevel="0" collapsed="false">
      <c r="A37" s="32" t="s">
        <v>305</v>
      </c>
      <c r="B37" s="73" t="s">
        <v>251</v>
      </c>
      <c r="C37" s="73" t="s">
        <v>306</v>
      </c>
      <c r="D37" s="73" t="s">
        <v>307</v>
      </c>
      <c r="E37" s="74" t="n">
        <v>18900</v>
      </c>
      <c r="F37" s="35" t="s">
        <v>308</v>
      </c>
      <c r="G37" s="35"/>
      <c r="H37" s="35"/>
      <c r="I37" s="35"/>
      <c r="J37" s="35"/>
      <c r="K37" s="35"/>
    </row>
    <row r="38" customFormat="false" ht="31.5" hidden="false" customHeight="true" outlineLevel="0" collapsed="false">
      <c r="A38" s="32" t="s">
        <v>309</v>
      </c>
      <c r="B38" s="73" t="s">
        <v>310</v>
      </c>
      <c r="C38" s="73" t="s">
        <v>311</v>
      </c>
      <c r="D38" s="73" t="s">
        <v>312</v>
      </c>
      <c r="E38" s="74" t="n">
        <v>6720</v>
      </c>
      <c r="F38" s="35" t="s">
        <v>313</v>
      </c>
      <c r="G38" s="35"/>
      <c r="H38" s="35"/>
      <c r="I38" s="35"/>
      <c r="J38" s="35"/>
      <c r="K38" s="35"/>
    </row>
    <row r="39" customFormat="false" ht="22.35" hidden="false" customHeight="true" outlineLevel="0" collapsed="false">
      <c r="A39" s="27" t="s">
        <v>264</v>
      </c>
      <c r="B39" s="51"/>
      <c r="C39" s="51"/>
      <c r="D39" s="51"/>
      <c r="E39" s="29" t="n">
        <f aca="false">SUM(E35:E38)</f>
        <v>47180</v>
      </c>
      <c r="F39" s="75" t="s">
        <v>314</v>
      </c>
      <c r="G39" s="75"/>
      <c r="H39" s="75"/>
      <c r="I39" s="75"/>
      <c r="J39" s="75"/>
      <c r="K39" s="75"/>
    </row>
    <row r="41" customFormat="false" ht="21.75" hidden="false" customHeight="true" outlineLevel="0" collapsed="false">
      <c r="A41" s="5" t="s">
        <v>266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customFormat="false" ht="55.5" hidden="false" customHeight="true" outlineLevel="0" collapsed="false">
      <c r="A42" s="15" t="s">
        <v>315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</row>
  </sheetData>
  <mergeCells count="28">
    <mergeCell ref="A1:K1"/>
    <mergeCell ref="A2:K2"/>
    <mergeCell ref="A4:K4"/>
    <mergeCell ref="A5:K5"/>
    <mergeCell ref="A6:K6"/>
    <mergeCell ref="A7:K7"/>
    <mergeCell ref="A9:K9"/>
    <mergeCell ref="A19:K19"/>
    <mergeCell ref="B20:K20"/>
    <mergeCell ref="B21:K21"/>
    <mergeCell ref="B22:K22"/>
    <mergeCell ref="B23:K23"/>
    <mergeCell ref="B24:K24"/>
    <mergeCell ref="B25:K25"/>
    <mergeCell ref="A27:K27"/>
    <mergeCell ref="A28:K28"/>
    <mergeCell ref="A29:K29"/>
    <mergeCell ref="A30:K30"/>
    <mergeCell ref="A31:K31"/>
    <mergeCell ref="A33:K33"/>
    <mergeCell ref="F34:K34"/>
    <mergeCell ref="F35:K35"/>
    <mergeCell ref="F36:K36"/>
    <mergeCell ref="F37:K37"/>
    <mergeCell ref="F38:K38"/>
    <mergeCell ref="F39:K39"/>
    <mergeCell ref="A41:K41"/>
    <mergeCell ref="A42:K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60"/>
  </cols>
  <sheetData>
    <row r="1" customFormat="false" ht="33.75" hidden="false" customHeight="true" outlineLevel="0" collapsed="false">
      <c r="A1" s="1" t="s">
        <v>316</v>
      </c>
      <c r="B1" s="1"/>
      <c r="C1" s="1"/>
    </row>
    <row r="2" customFormat="false" ht="19.5" hidden="false" customHeight="true" outlineLevel="0" collapsed="false">
      <c r="A2" s="2" t="s">
        <v>317</v>
      </c>
      <c r="B2" s="2"/>
      <c r="C2" s="2"/>
    </row>
    <row r="4" customFormat="false" ht="21.75" hidden="false" customHeight="true" outlineLevel="0" collapsed="false">
      <c r="A4" s="10" t="s">
        <v>318</v>
      </c>
      <c r="B4" s="10"/>
      <c r="C4" s="10"/>
    </row>
    <row r="5" customFormat="false" ht="31.5" hidden="false" customHeight="true" outlineLevel="0" collapsed="false">
      <c r="A5" s="6" t="s">
        <v>319</v>
      </c>
      <c r="B5" s="6" t="s">
        <v>320</v>
      </c>
      <c r="C5" s="6" t="s">
        <v>321</v>
      </c>
    </row>
    <row r="6" customFormat="false" ht="31.5" hidden="false" customHeight="true" outlineLevel="0" collapsed="false">
      <c r="A6" s="58" t="s">
        <v>54</v>
      </c>
      <c r="B6" s="8" t="s">
        <v>322</v>
      </c>
      <c r="C6" s="76" t="s">
        <v>323</v>
      </c>
    </row>
    <row r="7" customFormat="false" ht="31.5" hidden="false" customHeight="true" outlineLevel="0" collapsed="false">
      <c r="A7" s="58" t="s">
        <v>324</v>
      </c>
      <c r="B7" s="8" t="s">
        <v>325</v>
      </c>
      <c r="C7" s="76" t="s">
        <v>326</v>
      </c>
    </row>
    <row r="8" customFormat="false" ht="31.5" hidden="false" customHeight="true" outlineLevel="0" collapsed="false">
      <c r="A8" s="58" t="s">
        <v>327</v>
      </c>
      <c r="B8" s="8" t="s">
        <v>328</v>
      </c>
      <c r="C8" s="76" t="s">
        <v>329</v>
      </c>
    </row>
    <row r="9" customFormat="false" ht="31.5" hidden="false" customHeight="true" outlineLevel="0" collapsed="false">
      <c r="A9" s="58" t="s">
        <v>330</v>
      </c>
      <c r="B9" s="8" t="s">
        <v>331</v>
      </c>
      <c r="C9" s="76" t="s">
        <v>332</v>
      </c>
    </row>
    <row r="10" customFormat="false" ht="31.5" hidden="false" customHeight="true" outlineLevel="0" collapsed="false">
      <c r="A10" s="58" t="s">
        <v>333</v>
      </c>
      <c r="B10" s="8" t="s">
        <v>334</v>
      </c>
      <c r="C10" s="76" t="s">
        <v>335</v>
      </c>
    </row>
    <row r="11" customFormat="false" ht="31.5" hidden="false" customHeight="true" outlineLevel="0" collapsed="false">
      <c r="A11" s="58" t="s">
        <v>59</v>
      </c>
      <c r="B11" s="8" t="s">
        <v>336</v>
      </c>
      <c r="C11" s="76" t="s">
        <v>337</v>
      </c>
    </row>
    <row r="12" customFormat="false" ht="31.5" hidden="false" customHeight="true" outlineLevel="0" collapsed="false">
      <c r="A12" s="58" t="s">
        <v>63</v>
      </c>
      <c r="B12" s="8" t="s">
        <v>338</v>
      </c>
      <c r="C12" s="76" t="s">
        <v>339</v>
      </c>
    </row>
    <row r="13" customFormat="false" ht="31.5" hidden="false" customHeight="true" outlineLevel="0" collapsed="false">
      <c r="A13" s="58" t="s">
        <v>340</v>
      </c>
      <c r="B13" s="8" t="s">
        <v>341</v>
      </c>
      <c r="C13" s="76" t="s">
        <v>342</v>
      </c>
    </row>
    <row r="14" customFormat="false" ht="31.5" hidden="false" customHeight="true" outlineLevel="0" collapsed="false">
      <c r="A14" s="58" t="s">
        <v>343</v>
      </c>
      <c r="B14" s="8" t="s">
        <v>344</v>
      </c>
      <c r="C14" s="76" t="s">
        <v>345</v>
      </c>
    </row>
    <row r="15" customFormat="false" ht="31.5" hidden="false" customHeight="true" outlineLevel="0" collapsed="false">
      <c r="A15" s="58" t="s">
        <v>346</v>
      </c>
      <c r="B15" s="8" t="s">
        <v>347</v>
      </c>
      <c r="C15" s="76" t="s">
        <v>348</v>
      </c>
    </row>
    <row r="17" customFormat="false" ht="21.75" hidden="false" customHeight="true" outlineLevel="0" collapsed="false">
      <c r="A17" s="5" t="s">
        <v>349</v>
      </c>
      <c r="B17" s="5"/>
      <c r="C17" s="5"/>
    </row>
    <row r="18" customFormat="false" ht="31.5" hidden="false" customHeight="true" outlineLevel="0" collapsed="false">
      <c r="A18" s="6" t="s">
        <v>350</v>
      </c>
      <c r="B18" s="6" t="s">
        <v>351</v>
      </c>
      <c r="C18" s="6" t="s">
        <v>352</v>
      </c>
    </row>
    <row r="19" customFormat="false" ht="39.75" hidden="false" customHeight="true" outlineLevel="0" collapsed="false">
      <c r="A19" s="58" t="s">
        <v>353</v>
      </c>
      <c r="B19" s="8" t="s">
        <v>354</v>
      </c>
      <c r="C19" s="8" t="s">
        <v>355</v>
      </c>
    </row>
    <row r="20" customFormat="false" ht="39.75" hidden="false" customHeight="true" outlineLevel="0" collapsed="false">
      <c r="A20" s="58" t="s">
        <v>356</v>
      </c>
      <c r="B20" s="8" t="s">
        <v>357</v>
      </c>
      <c r="C20" s="8" t="s">
        <v>358</v>
      </c>
    </row>
    <row r="21" customFormat="false" ht="39.75" hidden="false" customHeight="true" outlineLevel="0" collapsed="false">
      <c r="A21" s="58" t="s">
        <v>359</v>
      </c>
      <c r="B21" s="8" t="s">
        <v>360</v>
      </c>
      <c r="C21" s="8" t="s">
        <v>361</v>
      </c>
    </row>
    <row r="23" customFormat="false" ht="27.75" hidden="false" customHeight="true" outlineLevel="0" collapsed="false">
      <c r="A23" s="77" t="s">
        <v>362</v>
      </c>
      <c r="B23" s="77"/>
      <c r="C23" s="77"/>
    </row>
  </sheetData>
  <mergeCells count="5">
    <mergeCell ref="A1:C1"/>
    <mergeCell ref="A2:C2"/>
    <mergeCell ref="A4:C4"/>
    <mergeCell ref="A17:C17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2026-08-18T04:31:10Z</dcterms:created>
  <dc:creator>openpyxl</dc:creator>
  <dc:description/>
  <dc:language>en-US</dc:language>
  <cp:lastModifiedBy/>
  <dcterms:modified xsi:type="dcterms:W3CDTF">2026-08-18T04:31:10Z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